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-so-du-lieu-virus" sheetId="1" state="visible" r:id="rId3"/>
    <sheet name="nhat-ky-he-thong" sheetId="2" state="visible" r:id="rId4"/>
    <sheet name="thong-ke" sheetId="3" state="visible" r:id="rId5"/>
  </sheets>
  <definedNames>
    <definedName function="false" hidden="true" localSheetId="0" name="_xlnm._FilterDatabase" vbProcedure="false">'co-so-du-lieu-virus'!$A$1:$D$9</definedName>
    <definedName function="false" hidden="true" localSheetId="1" name="_xlnm._FilterDatabase" vbProcedure="false">'nhat-ky-he-thong'!$A$1:$H$301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<sst xmlns="http://schemas.openxmlformats.org/spreadsheetml/2006/main" count="1261" uniqueCount="540">
  <si>
    <t xml:space="preserve">ma_virus</t>
  </si>
  <si>
    <t xml:space="preserve">ten_virus</t>
  </si>
  <si>
    <t xml:space="preserve">loai_ma_doc</t>
  </si>
  <si>
    <t xml:space="preserve">muc_do</t>
  </si>
  <si>
    <t xml:space="preserve">V001</t>
  </si>
  <si>
    <t xml:space="preserve">CryptoLock.A</t>
  </si>
  <si>
    <t xml:space="preserve">Ransomware</t>
  </si>
  <si>
    <t xml:space="preserve">Nghiêm trọng</t>
  </si>
  <si>
    <t xml:space="preserve">V002</t>
  </si>
  <si>
    <t xml:space="preserve">NightLocker</t>
  </si>
  <si>
    <t xml:space="preserve">V003</t>
  </si>
  <si>
    <t xml:space="preserve">BankStealer.X</t>
  </si>
  <si>
    <t xml:space="preserve">Trojan</t>
  </si>
  <si>
    <t xml:space="preserve">Cao</t>
  </si>
  <si>
    <t xml:space="preserve">V004</t>
  </si>
  <si>
    <t xml:space="preserve">RemoteShell.T</t>
  </si>
  <si>
    <t xml:space="preserve">V005</t>
  </si>
  <si>
    <t xml:space="preserve">NetCrawler</t>
  </si>
  <si>
    <t xml:space="preserve">Worm</t>
  </si>
  <si>
    <t xml:space="preserve">V006</t>
  </si>
  <si>
    <t xml:space="preserve">SilentSpy</t>
  </si>
  <si>
    <t xml:space="preserve">Spyware</t>
  </si>
  <si>
    <t xml:space="preserve">Trung bình</t>
  </si>
  <si>
    <t xml:space="preserve">V007</t>
  </si>
  <si>
    <t xml:space="preserve">BotHerd.M</t>
  </si>
  <si>
    <t xml:space="preserve">Botnet</t>
  </si>
  <si>
    <t xml:space="preserve">V008</t>
  </si>
  <si>
    <t xml:space="preserve">KeyWatch</t>
  </si>
  <si>
    <t xml:space="preserve">ma_canh_bao</t>
  </si>
  <si>
    <t xml:space="preserve">thoi_gian</t>
  </si>
  <si>
    <t xml:space="preserve">ip_nguon</t>
  </si>
  <si>
    <t xml:space="preserve">may_chu</t>
  </si>
  <si>
    <t xml:space="preserve">AL0001</t>
  </si>
  <si>
    <t xml:space="preserve">203.0.113.117</t>
  </si>
  <si>
    <t xml:space="preserve">vpn-01</t>
  </si>
  <si>
    <t xml:space="preserve">AL0002</t>
  </si>
  <si>
    <t xml:space="preserve">203.0.113.163</t>
  </si>
  <si>
    <t xml:space="preserve">  V007 </t>
  </si>
  <si>
    <t xml:space="preserve">AL0003</t>
  </si>
  <si>
    <t xml:space="preserve">203.0.113.25</t>
  </si>
  <si>
    <t xml:space="preserve">V007 </t>
  </si>
  <si>
    <t xml:space="preserve">AL0004</t>
  </si>
  <si>
    <t xml:space="preserve">203.0.113.154</t>
  </si>
  <si>
    <t xml:space="preserve">mail-01</t>
  </si>
  <si>
    <t xml:space="preserve">AL0005</t>
  </si>
  <si>
    <t xml:space="preserve">203.0.113.161</t>
  </si>
  <si>
    <t xml:space="preserve">web-01</t>
  </si>
  <si>
    <t xml:space="preserve">AL0006</t>
  </si>
  <si>
    <t xml:space="preserve">203.0.113.227</t>
  </si>
  <si>
    <t xml:space="preserve">web-02</t>
  </si>
  <si>
    <t xml:space="preserve"> V007</t>
  </si>
  <si>
    <t xml:space="preserve">AL0007</t>
  </si>
  <si>
    <t xml:space="preserve">203.0.113.114</t>
  </si>
  <si>
    <t xml:space="preserve">AL0008</t>
  </si>
  <si>
    <t xml:space="preserve">203.0.113.129</t>
  </si>
  <si>
    <t xml:space="preserve">AL0009</t>
  </si>
  <si>
    <t xml:space="preserve">203.0.113.106</t>
  </si>
  <si>
    <t xml:space="preserve">AL0010</t>
  </si>
  <si>
    <t xml:space="preserve">203.0.113.82</t>
  </si>
  <si>
    <t xml:space="preserve">AL0011</t>
  </si>
  <si>
    <t xml:space="preserve">203.0.113.104</t>
  </si>
  <si>
    <t xml:space="preserve">  V004 </t>
  </si>
  <si>
    <t xml:space="preserve">AL0012</t>
  </si>
  <si>
    <t xml:space="preserve">203.0.113.218</t>
  </si>
  <si>
    <t xml:space="preserve">file-01</t>
  </si>
  <si>
    <t xml:space="preserve">AL0013</t>
  </si>
  <si>
    <t xml:space="preserve">203.0.113.122</t>
  </si>
  <si>
    <t xml:space="preserve">AL0014</t>
  </si>
  <si>
    <t xml:space="preserve">203.0.113.146</t>
  </si>
  <si>
    <t xml:space="preserve">AL0015</t>
  </si>
  <si>
    <t xml:space="preserve">203.0.113.24</t>
  </si>
  <si>
    <t xml:space="preserve">db-01</t>
  </si>
  <si>
    <t xml:space="preserve">AL0016</t>
  </si>
  <si>
    <t xml:space="preserve">203.0.113.36</t>
  </si>
  <si>
    <t xml:space="preserve">AL0017</t>
  </si>
  <si>
    <t xml:space="preserve">203.0.113.47</t>
  </si>
  <si>
    <t xml:space="preserve">V006 </t>
  </si>
  <si>
    <t xml:space="preserve">AL0018</t>
  </si>
  <si>
    <t xml:space="preserve">203.0.113.189</t>
  </si>
  <si>
    <t xml:space="preserve">AL0019</t>
  </si>
  <si>
    <t xml:space="preserve">203.0.113.109</t>
  </si>
  <si>
    <t xml:space="preserve">AL0020</t>
  </si>
  <si>
    <t xml:space="preserve">203.0.113.228</t>
  </si>
  <si>
    <t xml:space="preserve">AL0021</t>
  </si>
  <si>
    <t xml:space="preserve">203.0.113.12</t>
  </si>
  <si>
    <t xml:space="preserve">AL0022</t>
  </si>
  <si>
    <t xml:space="preserve">203.0.113.214</t>
  </si>
  <si>
    <t xml:space="preserve">AL0023</t>
  </si>
  <si>
    <t xml:space="preserve">203.0.113.5</t>
  </si>
  <si>
    <t xml:space="preserve"> V003</t>
  </si>
  <si>
    <t xml:space="preserve">AL0024</t>
  </si>
  <si>
    <t xml:space="preserve">203.0.113.247</t>
  </si>
  <si>
    <t xml:space="preserve">AL0025</t>
  </si>
  <si>
    <t xml:space="preserve">203.0.113.48</t>
  </si>
  <si>
    <t xml:space="preserve">AL0026</t>
  </si>
  <si>
    <t xml:space="preserve">203.0.113.187</t>
  </si>
  <si>
    <t xml:space="preserve">AL0027</t>
  </si>
  <si>
    <t xml:space="preserve">203.0.113.52</t>
  </si>
  <si>
    <t xml:space="preserve">AL0028</t>
  </si>
  <si>
    <t xml:space="preserve">AL0029</t>
  </si>
  <si>
    <t xml:space="preserve">203.0.113.191</t>
  </si>
  <si>
    <t xml:space="preserve">V002 </t>
  </si>
  <si>
    <t xml:space="preserve">AL0030</t>
  </si>
  <si>
    <t xml:space="preserve">203.0.113.77</t>
  </si>
  <si>
    <t xml:space="preserve">AL0031</t>
  </si>
  <si>
    <t xml:space="preserve">203.0.113.34</t>
  </si>
  <si>
    <t xml:space="preserve">AL0032</t>
  </si>
  <si>
    <t xml:space="preserve">203.0.113.73</t>
  </si>
  <si>
    <t xml:space="preserve">AL0033</t>
  </si>
  <si>
    <t xml:space="preserve">203.0.113.19</t>
  </si>
  <si>
    <t xml:space="preserve">AL0034</t>
  </si>
  <si>
    <t xml:space="preserve">AL0035</t>
  </si>
  <si>
    <t xml:space="preserve">AL0036</t>
  </si>
  <si>
    <t xml:space="preserve">203.0.113.170</t>
  </si>
  <si>
    <t xml:space="preserve">AL0037</t>
  </si>
  <si>
    <t xml:space="preserve">203.0.113.153</t>
  </si>
  <si>
    <t xml:space="preserve">AL0038</t>
  </si>
  <si>
    <t xml:space="preserve">203.0.113.181</t>
  </si>
  <si>
    <t xml:space="preserve">AL0039</t>
  </si>
  <si>
    <t xml:space="preserve">203.0.113.125</t>
  </si>
  <si>
    <t xml:space="preserve">  V008 </t>
  </si>
  <si>
    <t xml:space="preserve">AL0040</t>
  </si>
  <si>
    <t xml:space="preserve">203.0.113.21</t>
  </si>
  <si>
    <t xml:space="preserve">AL0041</t>
  </si>
  <si>
    <t xml:space="preserve">203.0.113.205</t>
  </si>
  <si>
    <t xml:space="preserve">AL0042</t>
  </si>
  <si>
    <t xml:space="preserve">203.0.113.225</t>
  </si>
  <si>
    <t xml:space="preserve">AL0043</t>
  </si>
  <si>
    <t xml:space="preserve">V008 </t>
  </si>
  <si>
    <t xml:space="preserve">AL0044</t>
  </si>
  <si>
    <t xml:space="preserve">203.0.113.22</t>
  </si>
  <si>
    <t xml:space="preserve">AL0045</t>
  </si>
  <si>
    <t xml:space="preserve">203.0.113.188</t>
  </si>
  <si>
    <t xml:space="preserve">AL0046</t>
  </si>
  <si>
    <t xml:space="preserve">AL0047</t>
  </si>
  <si>
    <t xml:space="preserve">203.0.113.81</t>
  </si>
  <si>
    <t xml:space="preserve">AL0048</t>
  </si>
  <si>
    <t xml:space="preserve">  V001 </t>
  </si>
  <si>
    <t xml:space="preserve">AL0049</t>
  </si>
  <si>
    <t xml:space="preserve">203.0.113.96</t>
  </si>
  <si>
    <t xml:space="preserve">AL0050</t>
  </si>
  <si>
    <t xml:space="preserve">203.0.113.45</t>
  </si>
  <si>
    <t xml:space="preserve">AL0051</t>
  </si>
  <si>
    <t xml:space="preserve">203.0.113.85</t>
  </si>
  <si>
    <t xml:space="preserve">AL0052</t>
  </si>
  <si>
    <t xml:space="preserve">V005 </t>
  </si>
  <si>
    <t xml:space="preserve">AL0053</t>
  </si>
  <si>
    <t xml:space="preserve">203.0.113.55</t>
  </si>
  <si>
    <t xml:space="preserve">AL0054</t>
  </si>
  <si>
    <t xml:space="preserve">203.0.113.184</t>
  </si>
  <si>
    <t xml:space="preserve">AL0055</t>
  </si>
  <si>
    <t xml:space="preserve">203.0.113.30</t>
  </si>
  <si>
    <t xml:space="preserve">AL0056</t>
  </si>
  <si>
    <t xml:space="preserve">203.0.113.99</t>
  </si>
  <si>
    <t xml:space="preserve">AL0057</t>
  </si>
  <si>
    <t xml:space="preserve">203.0.113.84</t>
  </si>
  <si>
    <t xml:space="preserve">AL0058</t>
  </si>
  <si>
    <t xml:space="preserve">203.0.113.175</t>
  </si>
  <si>
    <t xml:space="preserve">AL0059</t>
  </si>
  <si>
    <t xml:space="preserve">203.0.113.6</t>
  </si>
  <si>
    <t xml:space="preserve">AL0060</t>
  </si>
  <si>
    <t xml:space="preserve">203.0.113.198</t>
  </si>
  <si>
    <t xml:space="preserve">AL0061</t>
  </si>
  <si>
    <t xml:space="preserve">203.0.113.116</t>
  </si>
  <si>
    <t xml:space="preserve">AL0062</t>
  </si>
  <si>
    <t xml:space="preserve">AL0063</t>
  </si>
  <si>
    <t xml:space="preserve">AL0064</t>
  </si>
  <si>
    <t xml:space="preserve">AL0065</t>
  </si>
  <si>
    <t xml:space="preserve">203.0.113.130</t>
  </si>
  <si>
    <t xml:space="preserve">AL0066</t>
  </si>
  <si>
    <t xml:space="preserve">AL0067</t>
  </si>
  <si>
    <t xml:space="preserve">AL0068</t>
  </si>
  <si>
    <t xml:space="preserve">203.0.113.98</t>
  </si>
  <si>
    <t xml:space="preserve">AL0069</t>
  </si>
  <si>
    <t xml:space="preserve">203.0.113.120</t>
  </si>
  <si>
    <t xml:space="preserve">AL0070</t>
  </si>
  <si>
    <t xml:space="preserve">203.0.113.56</t>
  </si>
  <si>
    <t xml:space="preserve">AL0071</t>
  </si>
  <si>
    <t xml:space="preserve">203.0.113.139</t>
  </si>
  <si>
    <t xml:space="preserve">AL0072</t>
  </si>
  <si>
    <t xml:space="preserve">203.0.113.91</t>
  </si>
  <si>
    <t xml:space="preserve">AL0073</t>
  </si>
  <si>
    <t xml:space="preserve">AL0074</t>
  </si>
  <si>
    <t xml:space="preserve">203.0.113.206</t>
  </si>
  <si>
    <t xml:space="preserve"> V004</t>
  </si>
  <si>
    <t xml:space="preserve">AL0075</t>
  </si>
  <si>
    <t xml:space="preserve">AL0076</t>
  </si>
  <si>
    <t xml:space="preserve">203.0.113.217</t>
  </si>
  <si>
    <t xml:space="preserve">AL0077</t>
  </si>
  <si>
    <t xml:space="preserve">203.0.113.150</t>
  </si>
  <si>
    <t xml:space="preserve">AL0078</t>
  </si>
  <si>
    <t xml:space="preserve">203.0.113.145</t>
  </si>
  <si>
    <t xml:space="preserve">AL0079</t>
  </si>
  <si>
    <t xml:space="preserve">203.0.113.135</t>
  </si>
  <si>
    <t xml:space="preserve">AL0080</t>
  </si>
  <si>
    <t xml:space="preserve">203.0.113.173</t>
  </si>
  <si>
    <t xml:space="preserve">AL0081</t>
  </si>
  <si>
    <t xml:space="preserve">203.0.113.79</t>
  </si>
  <si>
    <t xml:space="preserve">AL0082</t>
  </si>
  <si>
    <t xml:space="preserve">203.0.113.53</t>
  </si>
  <si>
    <t xml:space="preserve">AL0083</t>
  </si>
  <si>
    <t xml:space="preserve">203.0.113.9</t>
  </si>
  <si>
    <t xml:space="preserve">AL0084</t>
  </si>
  <si>
    <t xml:space="preserve">203.0.113.141</t>
  </si>
  <si>
    <t xml:space="preserve">AL0085</t>
  </si>
  <si>
    <t xml:space="preserve">203.0.113.240</t>
  </si>
  <si>
    <t xml:space="preserve"> V002</t>
  </si>
  <si>
    <t xml:space="preserve">AL0086</t>
  </si>
  <si>
    <t xml:space="preserve">203.0.113.70</t>
  </si>
  <si>
    <t xml:space="preserve">AL0087</t>
  </si>
  <si>
    <t xml:space="preserve">203.0.113.136</t>
  </si>
  <si>
    <t xml:space="preserve">V004 </t>
  </si>
  <si>
    <t xml:space="preserve">AL0088</t>
  </si>
  <si>
    <t xml:space="preserve">203.0.113.238</t>
  </si>
  <si>
    <t xml:space="preserve">AL0089</t>
  </si>
  <si>
    <t xml:space="preserve">203.0.113.11</t>
  </si>
  <si>
    <t xml:space="preserve">AL0090</t>
  </si>
  <si>
    <t xml:space="preserve">AL0091</t>
  </si>
  <si>
    <t xml:space="preserve">AL0092</t>
  </si>
  <si>
    <t xml:space="preserve">203.0.113.185</t>
  </si>
  <si>
    <t xml:space="preserve">AL0093</t>
  </si>
  <si>
    <t xml:space="preserve">AL0094</t>
  </si>
  <si>
    <t xml:space="preserve">AL0095</t>
  </si>
  <si>
    <t xml:space="preserve">203.0.113.137</t>
  </si>
  <si>
    <t xml:space="preserve">AL0096</t>
  </si>
  <si>
    <t xml:space="preserve">203.0.113.61</t>
  </si>
  <si>
    <t xml:space="preserve">AL0097</t>
  </si>
  <si>
    <t xml:space="preserve">AL0098</t>
  </si>
  <si>
    <t xml:space="preserve">203.0.113.201</t>
  </si>
  <si>
    <t xml:space="preserve">AL0099</t>
  </si>
  <si>
    <t xml:space="preserve">AL0100</t>
  </si>
  <si>
    <t xml:space="preserve">203.0.113.204</t>
  </si>
  <si>
    <t xml:space="preserve">V003 </t>
  </si>
  <si>
    <t xml:space="preserve">AL0101</t>
  </si>
  <si>
    <t xml:space="preserve">203.0.113.26</t>
  </si>
  <si>
    <t xml:space="preserve">AL0102</t>
  </si>
  <si>
    <t xml:space="preserve">203.0.113.31</t>
  </si>
  <si>
    <t xml:space="preserve">AL0103</t>
  </si>
  <si>
    <t xml:space="preserve">203.0.113.177</t>
  </si>
  <si>
    <t xml:space="preserve">AL0104</t>
  </si>
  <si>
    <t xml:space="preserve">AL0105</t>
  </si>
  <si>
    <t xml:space="preserve">203.0.113.39</t>
  </si>
  <si>
    <t xml:space="preserve">AL0106</t>
  </si>
  <si>
    <t xml:space="preserve">203.0.113.74</t>
  </si>
  <si>
    <t xml:space="preserve">AL0107</t>
  </si>
  <si>
    <t xml:space="preserve">AL0108</t>
  </si>
  <si>
    <t xml:space="preserve">203.0.113.92</t>
  </si>
  <si>
    <t xml:space="preserve">AL0109</t>
  </si>
  <si>
    <t xml:space="preserve">AL0110</t>
  </si>
  <si>
    <t xml:space="preserve">203.0.113.105</t>
  </si>
  <si>
    <t xml:space="preserve">AL0111</t>
  </si>
  <si>
    <t xml:space="preserve">203.0.113.230</t>
  </si>
  <si>
    <t xml:space="preserve"> V005</t>
  </si>
  <si>
    <t xml:space="preserve">AL0112</t>
  </si>
  <si>
    <t xml:space="preserve">203.0.113.147</t>
  </si>
  <si>
    <t xml:space="preserve">AL0113</t>
  </si>
  <si>
    <t xml:space="preserve">203.0.113.208</t>
  </si>
  <si>
    <t xml:space="preserve">AL0114</t>
  </si>
  <si>
    <t xml:space="preserve">203.0.113.210</t>
  </si>
  <si>
    <t xml:space="preserve">  V003 </t>
  </si>
  <si>
    <t xml:space="preserve">AL0115</t>
  </si>
  <si>
    <t xml:space="preserve">203.0.113.179</t>
  </si>
  <si>
    <t xml:space="preserve">AL0116</t>
  </si>
  <si>
    <t xml:space="preserve">203.0.113.54</t>
  </si>
  <si>
    <t xml:space="preserve">AL0117</t>
  </si>
  <si>
    <t xml:space="preserve">AL0118</t>
  </si>
  <si>
    <t xml:space="preserve">AL0119</t>
  </si>
  <si>
    <t xml:space="preserve">203.0.113.57</t>
  </si>
  <si>
    <t xml:space="preserve">AL0120</t>
  </si>
  <si>
    <t xml:space="preserve">203.0.113.133</t>
  </si>
  <si>
    <t xml:space="preserve">AL0121</t>
  </si>
  <si>
    <t xml:space="preserve">203.0.113.149</t>
  </si>
  <si>
    <t xml:space="preserve">AL0122</t>
  </si>
  <si>
    <t xml:space="preserve">203.0.113.115</t>
  </si>
  <si>
    <t xml:space="preserve">AL0123</t>
  </si>
  <si>
    <t xml:space="preserve">203.0.113.4</t>
  </si>
  <si>
    <t xml:space="preserve">AL0124</t>
  </si>
  <si>
    <t xml:space="preserve">203.0.113.142</t>
  </si>
  <si>
    <t xml:space="preserve">AL0125</t>
  </si>
  <si>
    <t xml:space="preserve">AL0126</t>
  </si>
  <si>
    <t xml:space="preserve">AL0127</t>
  </si>
  <si>
    <t xml:space="preserve">AL0128</t>
  </si>
  <si>
    <t xml:space="preserve">203.0.113.140</t>
  </si>
  <si>
    <t xml:space="preserve">AL0129</t>
  </si>
  <si>
    <t xml:space="preserve">AL0130</t>
  </si>
  <si>
    <t xml:space="preserve">AL0131</t>
  </si>
  <si>
    <t xml:space="preserve">203.0.113.171</t>
  </si>
  <si>
    <t xml:space="preserve">AL0132</t>
  </si>
  <si>
    <t xml:space="preserve">203.0.113.164</t>
  </si>
  <si>
    <t xml:space="preserve"> V006</t>
  </si>
  <si>
    <t xml:space="preserve">AL0133</t>
  </si>
  <si>
    <t xml:space="preserve">203.0.113.231</t>
  </si>
  <si>
    <t xml:space="preserve">AL0134</t>
  </si>
  <si>
    <t xml:space="preserve">203.0.113.20</t>
  </si>
  <si>
    <t xml:space="preserve">  V006 </t>
  </si>
  <si>
    <t xml:space="preserve">AL0135</t>
  </si>
  <si>
    <t xml:space="preserve">203.0.113.13</t>
  </si>
  <si>
    <t xml:space="preserve">AL0136</t>
  </si>
  <si>
    <t xml:space="preserve">203.0.113.38</t>
  </si>
  <si>
    <t xml:space="preserve">AL0137</t>
  </si>
  <si>
    <t xml:space="preserve">203.0.113.118</t>
  </si>
  <si>
    <t xml:space="preserve">  V005 </t>
  </si>
  <si>
    <t xml:space="preserve">AL0138</t>
  </si>
  <si>
    <t xml:space="preserve">203.0.113.33</t>
  </si>
  <si>
    <t xml:space="preserve">AL0139</t>
  </si>
  <si>
    <t xml:space="preserve">203.0.113.155</t>
  </si>
  <si>
    <t xml:space="preserve">AL0140</t>
  </si>
  <si>
    <t xml:space="preserve">AL0141</t>
  </si>
  <si>
    <t xml:space="preserve">AL0142</t>
  </si>
  <si>
    <t xml:space="preserve">AL0143</t>
  </si>
  <si>
    <t xml:space="preserve">203.0.113.180</t>
  </si>
  <si>
    <t xml:space="preserve">AL0144</t>
  </si>
  <si>
    <t xml:space="preserve">203.0.113.50</t>
  </si>
  <si>
    <t xml:space="preserve">AL0145</t>
  </si>
  <si>
    <t xml:space="preserve">203.0.113.226</t>
  </si>
  <si>
    <t xml:space="preserve">AL0146</t>
  </si>
  <si>
    <t xml:space="preserve">203.0.113.110</t>
  </si>
  <si>
    <t xml:space="preserve">V001 </t>
  </si>
  <si>
    <t xml:space="preserve">AL0147</t>
  </si>
  <si>
    <t xml:space="preserve">AL0148</t>
  </si>
  <si>
    <t xml:space="preserve"> V008</t>
  </si>
  <si>
    <t xml:space="preserve">AL0149</t>
  </si>
  <si>
    <t xml:space="preserve">203.0.113.192</t>
  </si>
  <si>
    <t xml:space="preserve">AL0150</t>
  </si>
  <si>
    <t xml:space="preserve">203.0.113.209</t>
  </si>
  <si>
    <t xml:space="preserve">AL0151</t>
  </si>
  <si>
    <t xml:space="preserve">AL0152</t>
  </si>
  <si>
    <t xml:space="preserve">203.0.113.41</t>
  </si>
  <si>
    <t xml:space="preserve">AL0153</t>
  </si>
  <si>
    <t xml:space="preserve">AL0154</t>
  </si>
  <si>
    <t xml:space="preserve">AL0155</t>
  </si>
  <si>
    <t xml:space="preserve">203.0.113.23</t>
  </si>
  <si>
    <t xml:space="preserve">AL0156</t>
  </si>
  <si>
    <t xml:space="preserve">203.0.113.78</t>
  </si>
  <si>
    <t xml:space="preserve">AL0157</t>
  </si>
  <si>
    <t xml:space="preserve">AL0158</t>
  </si>
  <si>
    <t xml:space="preserve">AL0159</t>
  </si>
  <si>
    <t xml:space="preserve">203.0.113.95</t>
  </si>
  <si>
    <t xml:space="preserve">AL0160</t>
  </si>
  <si>
    <t xml:space="preserve">AL0161</t>
  </si>
  <si>
    <t xml:space="preserve">203.0.113.58</t>
  </si>
  <si>
    <t xml:space="preserve">AL0162</t>
  </si>
  <si>
    <t xml:space="preserve">203.0.113.65</t>
  </si>
  <si>
    <t xml:space="preserve">AL0163</t>
  </si>
  <si>
    <t xml:space="preserve">AL0164</t>
  </si>
  <si>
    <t xml:space="preserve">AL0165</t>
  </si>
  <si>
    <t xml:space="preserve">AL0166</t>
  </si>
  <si>
    <t xml:space="preserve">AL0167</t>
  </si>
  <si>
    <t xml:space="preserve">AL0168</t>
  </si>
  <si>
    <t xml:space="preserve">AL0169</t>
  </si>
  <si>
    <t xml:space="preserve">AL0170</t>
  </si>
  <si>
    <t xml:space="preserve">203.0.113.8</t>
  </si>
  <si>
    <t xml:space="preserve">AL0171</t>
  </si>
  <si>
    <t xml:space="preserve">203.0.113.64</t>
  </si>
  <si>
    <t xml:space="preserve">AL0172</t>
  </si>
  <si>
    <t xml:space="preserve">203.0.113.88</t>
  </si>
  <si>
    <t xml:space="preserve">AL0173</t>
  </si>
  <si>
    <t xml:space="preserve">203.0.113.174</t>
  </si>
  <si>
    <t xml:space="preserve">AL0174</t>
  </si>
  <si>
    <t xml:space="preserve">203.0.113.183</t>
  </si>
  <si>
    <t xml:space="preserve">AL0175</t>
  </si>
  <si>
    <t xml:space="preserve">203.0.113.220</t>
  </si>
  <si>
    <t xml:space="preserve">AL0176</t>
  </si>
  <si>
    <t xml:space="preserve">AL0177</t>
  </si>
  <si>
    <t xml:space="preserve">203.0.113.207</t>
  </si>
  <si>
    <t xml:space="preserve">AL0178</t>
  </si>
  <si>
    <t xml:space="preserve">AL0179</t>
  </si>
  <si>
    <t xml:space="preserve">AL0180</t>
  </si>
  <si>
    <t xml:space="preserve">203.0.113.250</t>
  </si>
  <si>
    <t xml:space="preserve">AL0181</t>
  </si>
  <si>
    <t xml:space="preserve">203.0.113.167</t>
  </si>
  <si>
    <t xml:space="preserve">AL0182</t>
  </si>
  <si>
    <t xml:space="preserve">AL0183</t>
  </si>
  <si>
    <t xml:space="preserve">203.0.113.29</t>
  </si>
  <si>
    <t xml:space="preserve">AL0184</t>
  </si>
  <si>
    <t xml:space="preserve">AL0185</t>
  </si>
  <si>
    <t xml:space="preserve">203.0.113.49</t>
  </si>
  <si>
    <t xml:space="preserve">AL0186</t>
  </si>
  <si>
    <t xml:space="preserve">203.0.113.162</t>
  </si>
  <si>
    <t xml:space="preserve">AL0187</t>
  </si>
  <si>
    <t xml:space="preserve">203.0.113.126</t>
  </si>
  <si>
    <t xml:space="preserve">AL0188</t>
  </si>
  <si>
    <t xml:space="preserve">203.0.113.199</t>
  </si>
  <si>
    <t xml:space="preserve">AL0189</t>
  </si>
  <si>
    <t xml:space="preserve">AL0190</t>
  </si>
  <si>
    <t xml:space="preserve">AL0191</t>
  </si>
  <si>
    <t xml:space="preserve">AL0192</t>
  </si>
  <si>
    <t xml:space="preserve">AL0193</t>
  </si>
  <si>
    <t xml:space="preserve">203.0.113.108</t>
  </si>
  <si>
    <t xml:space="preserve">AL0194</t>
  </si>
  <si>
    <t xml:space="preserve">203.0.113.165</t>
  </si>
  <si>
    <t xml:space="preserve">AL0195</t>
  </si>
  <si>
    <t xml:space="preserve">203.0.113.15</t>
  </si>
  <si>
    <t xml:space="preserve">AL0196</t>
  </si>
  <si>
    <t xml:space="preserve">203.0.113.212</t>
  </si>
  <si>
    <t xml:space="preserve">AL0197</t>
  </si>
  <si>
    <t xml:space="preserve">AL0198</t>
  </si>
  <si>
    <t xml:space="preserve">203.0.113.221</t>
  </si>
  <si>
    <t xml:space="preserve">AL0199</t>
  </si>
  <si>
    <t xml:space="preserve">203.0.113.51</t>
  </si>
  <si>
    <t xml:space="preserve">AL0200</t>
  </si>
  <si>
    <t xml:space="preserve">AL0201</t>
  </si>
  <si>
    <t xml:space="preserve">AL0202</t>
  </si>
  <si>
    <t xml:space="preserve">203.0.113.172</t>
  </si>
  <si>
    <t xml:space="preserve">AL0203</t>
  </si>
  <si>
    <t xml:space="preserve"> V001</t>
  </si>
  <si>
    <t xml:space="preserve">AL0204</t>
  </si>
  <si>
    <t xml:space="preserve">203.0.113.169</t>
  </si>
  <si>
    <t xml:space="preserve">AL0205</t>
  </si>
  <si>
    <t xml:space="preserve">203.0.113.62</t>
  </si>
  <si>
    <t xml:space="preserve">AL0206</t>
  </si>
  <si>
    <t xml:space="preserve">AL0207</t>
  </si>
  <si>
    <t xml:space="preserve">AL0208</t>
  </si>
  <si>
    <t xml:space="preserve">203.0.113.195</t>
  </si>
  <si>
    <t xml:space="preserve">AL0209</t>
  </si>
  <si>
    <t xml:space="preserve">AL0210</t>
  </si>
  <si>
    <t xml:space="preserve">AL0211</t>
  </si>
  <si>
    <t xml:space="preserve">AL0212</t>
  </si>
  <si>
    <t xml:space="preserve">  V002 </t>
  </si>
  <si>
    <t xml:space="preserve">AL0213</t>
  </si>
  <si>
    <t xml:space="preserve">203.0.113.27</t>
  </si>
  <si>
    <t xml:space="preserve">AL0214</t>
  </si>
  <si>
    <t xml:space="preserve">AL0215</t>
  </si>
  <si>
    <t xml:space="preserve">203.0.113.37</t>
  </si>
  <si>
    <t xml:space="preserve">AL0216</t>
  </si>
  <si>
    <t xml:space="preserve">AL0217</t>
  </si>
  <si>
    <t xml:space="preserve">203.0.113.158</t>
  </si>
  <si>
    <t xml:space="preserve">AL0218</t>
  </si>
  <si>
    <t xml:space="preserve">AL0219</t>
  </si>
  <si>
    <t xml:space="preserve">203.0.113.89</t>
  </si>
  <si>
    <t xml:space="preserve">AL0220</t>
  </si>
  <si>
    <t xml:space="preserve">203.0.113.132</t>
  </si>
  <si>
    <t xml:space="preserve">AL0221</t>
  </si>
  <si>
    <t xml:space="preserve">203.0.113.66</t>
  </si>
  <si>
    <t xml:space="preserve">AL0222</t>
  </si>
  <si>
    <t xml:space="preserve">AL0223</t>
  </si>
  <si>
    <t xml:space="preserve">AL0224</t>
  </si>
  <si>
    <t xml:space="preserve">AL0225</t>
  </si>
  <si>
    <t xml:space="preserve">AL0226</t>
  </si>
  <si>
    <t xml:space="preserve">AL0227</t>
  </si>
  <si>
    <t xml:space="preserve">AL0228</t>
  </si>
  <si>
    <t xml:space="preserve">AL0229</t>
  </si>
  <si>
    <t xml:space="preserve">AL0230</t>
  </si>
  <si>
    <t xml:space="preserve">AL0231</t>
  </si>
  <si>
    <t xml:space="preserve">AL0232</t>
  </si>
  <si>
    <t xml:space="preserve">AL0233</t>
  </si>
  <si>
    <t xml:space="preserve">203.0.113.159</t>
  </si>
  <si>
    <t xml:space="preserve">AL0234</t>
  </si>
  <si>
    <t xml:space="preserve">AL0235</t>
  </si>
  <si>
    <t xml:space="preserve">AL0236</t>
  </si>
  <si>
    <t xml:space="preserve">AL0237</t>
  </si>
  <si>
    <t xml:space="preserve">AL0238</t>
  </si>
  <si>
    <t xml:space="preserve">AL0239</t>
  </si>
  <si>
    <t xml:space="preserve">203.0.113.194</t>
  </si>
  <si>
    <t xml:space="preserve">AL0240</t>
  </si>
  <si>
    <t xml:space="preserve">203.0.113.213</t>
  </si>
  <si>
    <t xml:space="preserve">AL0241</t>
  </si>
  <si>
    <t xml:space="preserve">AL0242</t>
  </si>
  <si>
    <t xml:space="preserve">203.0.113.234</t>
  </si>
  <si>
    <t xml:space="preserve">AL0243</t>
  </si>
  <si>
    <t xml:space="preserve">AL0244</t>
  </si>
  <si>
    <t xml:space="preserve">AL0245</t>
  </si>
  <si>
    <t xml:space="preserve">AL0246</t>
  </si>
  <si>
    <t xml:space="preserve">AL0247</t>
  </si>
  <si>
    <t xml:space="preserve">AL0248</t>
  </si>
  <si>
    <t xml:space="preserve">203.0.113.223</t>
  </si>
  <si>
    <t xml:space="preserve">AL0249</t>
  </si>
  <si>
    <t xml:space="preserve">203.0.113.168</t>
  </si>
  <si>
    <t xml:space="preserve">AL0250</t>
  </si>
  <si>
    <t xml:space="preserve">AL0251</t>
  </si>
  <si>
    <t xml:space="preserve">203.0.113.2</t>
  </si>
  <si>
    <t xml:space="preserve">AL0252</t>
  </si>
  <si>
    <t xml:space="preserve">203.0.113.46</t>
  </si>
  <si>
    <t xml:space="preserve">AL0253</t>
  </si>
  <si>
    <t xml:space="preserve">203.0.113.103</t>
  </si>
  <si>
    <t xml:space="preserve">AL0254</t>
  </si>
  <si>
    <t xml:space="preserve">203.0.113.80</t>
  </si>
  <si>
    <t xml:space="preserve">AL0255</t>
  </si>
  <si>
    <t xml:space="preserve">AL0256</t>
  </si>
  <si>
    <t xml:space="preserve">AL0257</t>
  </si>
  <si>
    <t xml:space="preserve">AL0258</t>
  </si>
  <si>
    <t xml:space="preserve">AL0259</t>
  </si>
  <si>
    <t xml:space="preserve">AL0260</t>
  </si>
  <si>
    <t xml:space="preserve">AL0261</t>
  </si>
  <si>
    <t xml:space="preserve">203.0.113.224</t>
  </si>
  <si>
    <t xml:space="preserve">AL0262</t>
  </si>
  <si>
    <t xml:space="preserve">AL0263</t>
  </si>
  <si>
    <t xml:space="preserve">AL0264</t>
  </si>
  <si>
    <t xml:space="preserve">AL0265</t>
  </si>
  <si>
    <t xml:space="preserve">AL0266</t>
  </si>
  <si>
    <t xml:space="preserve">AL0267</t>
  </si>
  <si>
    <t xml:space="preserve">AL0268</t>
  </si>
  <si>
    <t xml:space="preserve">AL0269</t>
  </si>
  <si>
    <t xml:space="preserve">AL0270</t>
  </si>
  <si>
    <t xml:space="preserve">AL0271</t>
  </si>
  <si>
    <t xml:space="preserve">AL0272</t>
  </si>
  <si>
    <t xml:space="preserve">AL0273</t>
  </si>
  <si>
    <t xml:space="preserve">AL0274</t>
  </si>
  <si>
    <t xml:space="preserve">AL0275</t>
  </si>
  <si>
    <t xml:space="preserve">AL0276</t>
  </si>
  <si>
    <t xml:space="preserve">AL0277</t>
  </si>
  <si>
    <t xml:space="preserve">203.0.113.68</t>
  </si>
  <si>
    <t xml:space="preserve">AL0278</t>
  </si>
  <si>
    <t xml:space="preserve">AL0279</t>
  </si>
  <si>
    <t xml:space="preserve">203.0.113.148</t>
  </si>
  <si>
    <t xml:space="preserve">AL0280</t>
  </si>
  <si>
    <t xml:space="preserve">203.0.113.157</t>
  </si>
  <si>
    <t xml:space="preserve">AL0281</t>
  </si>
  <si>
    <t xml:space="preserve">AL0282</t>
  </si>
  <si>
    <t xml:space="preserve">AL0283</t>
  </si>
  <si>
    <t xml:space="preserve">AL0284</t>
  </si>
  <si>
    <t xml:space="preserve">AL0285</t>
  </si>
  <si>
    <t xml:space="preserve">AL0286</t>
  </si>
  <si>
    <t xml:space="preserve">203.0.113.17</t>
  </si>
  <si>
    <t xml:space="preserve">AL0287</t>
  </si>
  <si>
    <t xml:space="preserve">203.0.113.182</t>
  </si>
  <si>
    <t xml:space="preserve">AL0288</t>
  </si>
  <si>
    <t xml:space="preserve">AL0289</t>
  </si>
  <si>
    <t xml:space="preserve">AL0290</t>
  </si>
  <si>
    <t xml:space="preserve">203.0.113.102</t>
  </si>
  <si>
    <t xml:space="preserve">AL0291</t>
  </si>
  <si>
    <t xml:space="preserve">AL0292</t>
  </si>
  <si>
    <t xml:space="preserve">AL0293</t>
  </si>
  <si>
    <t xml:space="preserve">AL0294</t>
  </si>
  <si>
    <t xml:space="preserve">203.0.113.244</t>
  </si>
  <si>
    <t xml:space="preserve">AL0295</t>
  </si>
  <si>
    <t xml:space="preserve">203.0.113.190</t>
  </si>
  <si>
    <t xml:space="preserve">AL0296</t>
  </si>
  <si>
    <t xml:space="preserve">AL0297</t>
  </si>
  <si>
    <t xml:space="preserve">203.0.113.202</t>
  </si>
  <si>
    <t xml:space="preserve">AL0298</t>
  </si>
  <si>
    <t xml:space="preserve">AL0299</t>
  </si>
  <si>
    <t xml:space="preserve">AL0300</t>
  </si>
  <si>
    <t xml:space="preserve">203.0.113.127</t>
  </si>
  <si>
    <t xml:space="preserve">Thống kê cảnh báo theo loại mã độc</t>
  </si>
  <si>
    <t xml:space="preserve">so_canh_bao</t>
  </si>
  <si>
    <t xml:space="preserve">ty_le</t>
  </si>
  <si>
    <t xml:space="preserve">Tổng</t>
  </si>
  <si>
    <t xml:space="preserve">Kiểm tra tra cứu (lỗi N/A)</t>
  </si>
  <si>
    <t xml:space="preserve">Dữ liệu giả lập; một phần mã ở cột E cố ý có khoảng trắng thừa để minh họa TRIM.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</si>
</sst>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3C5D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B3C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3C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6</v>
      </c>
      <c r="D3" s="2" t="s">
        <v>7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12</v>
      </c>
      <c r="D4" s="2" t="s">
        <v>13</v>
      </c>
    </row>
    <row r="5" customFormat="false" ht="15" hidden="false" customHeight="false" outlineLevel="0" collapsed="false">
      <c r="A5" s="2" t="s">
        <v>14</v>
      </c>
      <c r="B5" s="2" t="s">
        <v>15</v>
      </c>
      <c r="C5" s="2" t="s">
        <v>12</v>
      </c>
      <c r="D5" s="2" t="s">
        <v>13</v>
      </c>
    </row>
    <row r="6" customFormat="false" ht="15" hidden="false" customHeight="false" outlineLevel="0" collapsed="false">
      <c r="A6" s="2" t="s">
        <v>16</v>
      </c>
      <c r="B6" s="2" t="s">
        <v>17</v>
      </c>
      <c r="C6" s="2" t="s">
        <v>18</v>
      </c>
      <c r="D6" s="2" t="s">
        <v>13</v>
      </c>
    </row>
    <row r="7" customFormat="false" ht="15" hidden="false" customHeight="false" outlineLevel="0" collapsed="false">
      <c r="A7" s="2" t="s">
        <v>19</v>
      </c>
      <c r="B7" s="2" t="s">
        <v>20</v>
      </c>
      <c r="C7" s="2" t="s">
        <v>21</v>
      </c>
      <c r="D7" s="2" t="s">
        <v>22</v>
      </c>
    </row>
    <row r="8" customFormat="false" ht="15" hidden="false" customHeight="false" outlineLevel="0" collapsed="false">
      <c r="A8" s="2" t="s">
        <v>23</v>
      </c>
      <c r="B8" s="2" t="s">
        <v>24</v>
      </c>
      <c r="C8" s="2" t="s">
        <v>25</v>
      </c>
      <c r="D8" s="2" t="s">
        <v>13</v>
      </c>
    </row>
    <row r="9" customFormat="false" ht="15" hidden="false" customHeight="false" outlineLevel="0" collapsed="false">
      <c r="A9" s="2" t="s">
        <v>26</v>
      </c>
      <c r="B9" s="2" t="s">
        <v>27</v>
      </c>
      <c r="C9" s="2" t="s">
        <v>21</v>
      </c>
      <c r="D9" s="2" t="s">
        <v>22</v>
      </c>
    </row>
  </sheetData>
  <autoFilter ref="A1:D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8" min="7" style="0" width="14"/>
  </cols>
  <sheetData>
    <row r="1" customFormat="false" ht="15" hidden="false" customHeight="fals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0</v>
      </c>
      <c r="F1" s="1" t="s">
        <v>1</v>
      </c>
      <c r="G1" s="1" t="s">
        <v>2</v>
      </c>
      <c r="H1" s="1" t="s">
        <v>3</v>
      </c>
    </row>
    <row r="2" customFormat="false" ht="15" hidden="false" customHeight="false" outlineLevel="0" collapsed="false">
      <c r="A2" s="2" t="s">
        <v>32</v>
      </c>
      <c r="B2" s="3" t="n">
        <v>46317.1916666667</v>
      </c>
      <c r="C2" s="2" t="s">
        <v>33</v>
      </c>
      <c r="D2" s="2" t="s">
        <v>34</v>
      </c>
      <c r="E2" s="2" t="s">
        <v>14</v>
      </c>
      <c r="F2" s="4" t="str">
        <f aca="false">VLOOKUP(TRIM($E2),'co-so-du-lieu-virus'!$A$2:$D$9,2,FALSE())</f>
        <v>RemoteShell.T</v>
      </c>
      <c r="G2" s="4" t="str">
        <f aca="false">VLOOKUP(TRIM($E2),'co-so-du-lieu-virus'!$A$2:$D$9,3,FALSE())</f>
        <v>Trojan</v>
      </c>
      <c r="H2" s="4" t="str">
        <f aca="false">VLOOKUP(TRIM($E2),'co-so-du-lieu-virus'!$A$2:$D$9,4,FALSE())</f>
        <v>Cao</v>
      </c>
    </row>
    <row r="3" customFormat="false" ht="15" hidden="false" customHeight="false" outlineLevel="0" collapsed="false">
      <c r="A3" s="2" t="s">
        <v>35</v>
      </c>
      <c r="B3" s="3" t="n">
        <v>46317.6520833333</v>
      </c>
      <c r="C3" s="2" t="s">
        <v>36</v>
      </c>
      <c r="D3" s="2" t="s">
        <v>34</v>
      </c>
      <c r="E3" s="2" t="s">
        <v>37</v>
      </c>
      <c r="F3" s="4" t="str">
        <f aca="false">VLOOKUP(TRIM($E3),'co-so-du-lieu-virus'!$A$2:$D$9,2,FALSE())</f>
        <v>BotHerd.M</v>
      </c>
      <c r="G3" s="4" t="str">
        <f aca="false">VLOOKUP(TRIM($E3),'co-so-du-lieu-virus'!$A$2:$D$9,3,FALSE())</f>
        <v>Botnet</v>
      </c>
      <c r="H3" s="4" t="str">
        <f aca="false">VLOOKUP(TRIM($E3),'co-so-du-lieu-virus'!$A$2:$D$9,4,FALSE())</f>
        <v>Cao</v>
      </c>
    </row>
    <row r="4" customFormat="false" ht="15" hidden="false" customHeight="false" outlineLevel="0" collapsed="false">
      <c r="A4" s="2" t="s">
        <v>38</v>
      </c>
      <c r="B4" s="3" t="n">
        <v>46302.4527777778</v>
      </c>
      <c r="C4" s="2" t="s">
        <v>39</v>
      </c>
      <c r="D4" s="2" t="s">
        <v>34</v>
      </c>
      <c r="E4" s="2" t="s">
        <v>40</v>
      </c>
      <c r="F4" s="4" t="str">
        <f aca="false">VLOOKUP(TRIM($E4),'co-so-du-lieu-virus'!$A$2:$D$9,2,FALSE())</f>
        <v>BotHerd.M</v>
      </c>
      <c r="G4" s="4" t="str">
        <f aca="false">VLOOKUP(TRIM($E4),'co-so-du-lieu-virus'!$A$2:$D$9,3,FALSE())</f>
        <v>Botnet</v>
      </c>
      <c r="H4" s="4" t="str">
        <f aca="false">VLOOKUP(TRIM($E4),'co-so-du-lieu-virus'!$A$2:$D$9,4,FALSE())</f>
        <v>Cao</v>
      </c>
    </row>
    <row r="5" customFormat="false" ht="15" hidden="false" customHeight="false" outlineLevel="0" collapsed="false">
      <c r="A5" s="2" t="s">
        <v>41</v>
      </c>
      <c r="B5" s="3" t="n">
        <v>46297.9055555556</v>
      </c>
      <c r="C5" s="2" t="s">
        <v>42</v>
      </c>
      <c r="D5" s="2" t="s">
        <v>43</v>
      </c>
      <c r="E5" s="2" t="s">
        <v>23</v>
      </c>
      <c r="F5" s="4" t="str">
        <f aca="false">VLOOKUP(TRIM($E5),'co-so-du-lieu-virus'!$A$2:$D$9,2,FALSE())</f>
        <v>BotHerd.M</v>
      </c>
      <c r="G5" s="4" t="str">
        <f aca="false">VLOOKUP(TRIM($E5),'co-so-du-lieu-virus'!$A$2:$D$9,3,FALSE())</f>
        <v>Botnet</v>
      </c>
      <c r="H5" s="4" t="str">
        <f aca="false">VLOOKUP(TRIM($E5),'co-so-du-lieu-virus'!$A$2:$D$9,4,FALSE())</f>
        <v>Cao</v>
      </c>
    </row>
    <row r="6" customFormat="false" ht="15" hidden="false" customHeight="false" outlineLevel="0" collapsed="false">
      <c r="A6" s="2" t="s">
        <v>44</v>
      </c>
      <c r="B6" s="3" t="n">
        <v>46303.1673611111</v>
      </c>
      <c r="C6" s="2" t="s">
        <v>45</v>
      </c>
      <c r="D6" s="2" t="s">
        <v>46</v>
      </c>
      <c r="E6" s="2" t="s">
        <v>26</v>
      </c>
      <c r="F6" s="4" t="str">
        <f aca="false">VLOOKUP(TRIM($E6),'co-so-du-lieu-virus'!$A$2:$D$9,2,FALSE())</f>
        <v>KeyWatch</v>
      </c>
      <c r="G6" s="4" t="str">
        <f aca="false">VLOOKUP(TRIM($E6),'co-so-du-lieu-virus'!$A$2:$D$9,3,FALSE())</f>
        <v>Spyware</v>
      </c>
      <c r="H6" s="4" t="str">
        <f aca="false">VLOOKUP(TRIM($E6),'co-so-du-lieu-virus'!$A$2:$D$9,4,FALSE())</f>
        <v>Trung bình</v>
      </c>
    </row>
    <row r="7" customFormat="false" ht="15" hidden="false" customHeight="false" outlineLevel="0" collapsed="false">
      <c r="A7" s="2" t="s">
        <v>47</v>
      </c>
      <c r="B7" s="3" t="n">
        <v>46304.65625</v>
      </c>
      <c r="C7" s="2" t="s">
        <v>48</v>
      </c>
      <c r="D7" s="2" t="s">
        <v>49</v>
      </c>
      <c r="E7" s="2" t="s">
        <v>50</v>
      </c>
      <c r="F7" s="4" t="str">
        <f aca="false">VLOOKUP(TRIM($E7),'co-so-du-lieu-virus'!$A$2:$D$9,2,FALSE())</f>
        <v>BotHerd.M</v>
      </c>
      <c r="G7" s="4" t="str">
        <f aca="false">VLOOKUP(TRIM($E7),'co-so-du-lieu-virus'!$A$2:$D$9,3,FALSE())</f>
        <v>Botnet</v>
      </c>
      <c r="H7" s="4" t="str">
        <f aca="false">VLOOKUP(TRIM($E7),'co-so-du-lieu-virus'!$A$2:$D$9,4,FALSE())</f>
        <v>Cao</v>
      </c>
    </row>
    <row r="8" customFormat="false" ht="15" hidden="false" customHeight="false" outlineLevel="0" collapsed="false">
      <c r="A8" s="2" t="s">
        <v>51</v>
      </c>
      <c r="B8" s="3" t="n">
        <v>46310.8493055556</v>
      </c>
      <c r="C8" s="2" t="s">
        <v>52</v>
      </c>
      <c r="D8" s="2" t="s">
        <v>34</v>
      </c>
      <c r="E8" s="2" t="s">
        <v>16</v>
      </c>
      <c r="F8" s="4" t="str">
        <f aca="false">VLOOKUP(TRIM($E8),'co-so-du-lieu-virus'!$A$2:$D$9,2,FALSE())</f>
        <v>NetCrawler</v>
      </c>
      <c r="G8" s="4" t="str">
        <f aca="false">VLOOKUP(TRIM($E8),'co-so-du-lieu-virus'!$A$2:$D$9,3,FALSE())</f>
        <v>Worm</v>
      </c>
      <c r="H8" s="4" t="str">
        <f aca="false">VLOOKUP(TRIM($E8),'co-so-du-lieu-virus'!$A$2:$D$9,4,FALSE())</f>
        <v>Cao</v>
      </c>
    </row>
    <row r="9" customFormat="false" ht="15" hidden="false" customHeight="false" outlineLevel="0" collapsed="false">
      <c r="A9" s="2" t="s">
        <v>53</v>
      </c>
      <c r="B9" s="3" t="n">
        <v>46309.3868055556</v>
      </c>
      <c r="C9" s="2" t="s">
        <v>54</v>
      </c>
      <c r="D9" s="2" t="s">
        <v>46</v>
      </c>
      <c r="E9" s="2" t="s">
        <v>23</v>
      </c>
      <c r="F9" s="4" t="str">
        <f aca="false">VLOOKUP(TRIM($E9),'co-so-du-lieu-virus'!$A$2:$D$9,2,FALSE())</f>
        <v>BotHerd.M</v>
      </c>
      <c r="G9" s="4" t="str">
        <f aca="false">VLOOKUP(TRIM($E9),'co-so-du-lieu-virus'!$A$2:$D$9,3,FALSE())</f>
        <v>Botnet</v>
      </c>
      <c r="H9" s="4" t="str">
        <f aca="false">VLOOKUP(TRIM($E9),'co-so-du-lieu-virus'!$A$2:$D$9,4,FALSE())</f>
        <v>Cao</v>
      </c>
    </row>
    <row r="10" customFormat="false" ht="15" hidden="false" customHeight="false" outlineLevel="0" collapsed="false">
      <c r="A10" s="2" t="s">
        <v>55</v>
      </c>
      <c r="B10" s="3" t="n">
        <v>46308.6590277778</v>
      </c>
      <c r="C10" s="2" t="s">
        <v>56</v>
      </c>
      <c r="D10" s="2" t="s">
        <v>34</v>
      </c>
      <c r="E10" s="2" t="s">
        <v>16</v>
      </c>
      <c r="F10" s="4" t="str">
        <f aca="false">VLOOKUP(TRIM($E10),'co-so-du-lieu-virus'!$A$2:$D$9,2,FALSE())</f>
        <v>NetCrawler</v>
      </c>
      <c r="G10" s="4" t="str">
        <f aca="false">VLOOKUP(TRIM($E10),'co-so-du-lieu-virus'!$A$2:$D$9,3,FALSE())</f>
        <v>Worm</v>
      </c>
      <c r="H10" s="4" t="str">
        <f aca="false">VLOOKUP(TRIM($E10),'co-so-du-lieu-virus'!$A$2:$D$9,4,FALSE())</f>
        <v>Cao</v>
      </c>
    </row>
    <row r="11" customFormat="false" ht="15" hidden="false" customHeight="false" outlineLevel="0" collapsed="false">
      <c r="A11" s="2" t="s">
        <v>57</v>
      </c>
      <c r="B11" s="3" t="n">
        <v>46307.5590277778</v>
      </c>
      <c r="C11" s="2" t="s">
        <v>58</v>
      </c>
      <c r="D11" s="2" t="s">
        <v>49</v>
      </c>
      <c r="E11" s="2" t="s">
        <v>26</v>
      </c>
      <c r="F11" s="4" t="str">
        <f aca="false">VLOOKUP(TRIM($E11),'co-so-du-lieu-virus'!$A$2:$D$9,2,FALSE())</f>
        <v>KeyWatch</v>
      </c>
      <c r="G11" s="4" t="str">
        <f aca="false">VLOOKUP(TRIM($E11),'co-so-du-lieu-virus'!$A$2:$D$9,3,FALSE())</f>
        <v>Spyware</v>
      </c>
      <c r="H11" s="4" t="str">
        <f aca="false">VLOOKUP(TRIM($E11),'co-so-du-lieu-virus'!$A$2:$D$9,4,FALSE())</f>
        <v>Trung bình</v>
      </c>
    </row>
    <row r="12" customFormat="false" ht="15" hidden="false" customHeight="false" outlineLevel="0" collapsed="false">
      <c r="A12" s="2" t="s">
        <v>59</v>
      </c>
      <c r="B12" s="3" t="n">
        <v>46300.9118055556</v>
      </c>
      <c r="C12" s="2" t="s">
        <v>60</v>
      </c>
      <c r="D12" s="2" t="s">
        <v>46</v>
      </c>
      <c r="E12" s="2" t="s">
        <v>61</v>
      </c>
      <c r="F12" s="4" t="str">
        <f aca="false">VLOOKUP(TRIM($E12),'co-so-du-lieu-virus'!$A$2:$D$9,2,FALSE())</f>
        <v>RemoteShell.T</v>
      </c>
      <c r="G12" s="4" t="str">
        <f aca="false">VLOOKUP(TRIM($E12),'co-so-du-lieu-virus'!$A$2:$D$9,3,FALSE())</f>
        <v>Trojan</v>
      </c>
      <c r="H12" s="4" t="str">
        <f aca="false">VLOOKUP(TRIM($E12),'co-so-du-lieu-virus'!$A$2:$D$9,4,FALSE())</f>
        <v>Cao</v>
      </c>
    </row>
    <row r="13" customFormat="false" ht="15" hidden="false" customHeight="false" outlineLevel="0" collapsed="false">
      <c r="A13" s="2" t="s">
        <v>62</v>
      </c>
      <c r="B13" s="3" t="n">
        <v>46296.7680555556</v>
      </c>
      <c r="C13" s="2" t="s">
        <v>63</v>
      </c>
      <c r="D13" s="2" t="s">
        <v>64</v>
      </c>
      <c r="E13" s="2" t="s">
        <v>23</v>
      </c>
      <c r="F13" s="4" t="str">
        <f aca="false">VLOOKUP(TRIM($E13),'co-so-du-lieu-virus'!$A$2:$D$9,2,FALSE())</f>
        <v>BotHerd.M</v>
      </c>
      <c r="G13" s="4" t="str">
        <f aca="false">VLOOKUP(TRIM($E13),'co-so-du-lieu-virus'!$A$2:$D$9,3,FALSE())</f>
        <v>Botnet</v>
      </c>
      <c r="H13" s="4" t="str">
        <f aca="false">VLOOKUP(TRIM($E13),'co-so-du-lieu-virus'!$A$2:$D$9,4,FALSE())</f>
        <v>Cao</v>
      </c>
    </row>
    <row r="14" customFormat="false" ht="15" hidden="false" customHeight="false" outlineLevel="0" collapsed="false">
      <c r="A14" s="2" t="s">
        <v>65</v>
      </c>
      <c r="B14" s="3" t="n">
        <v>46298.38125</v>
      </c>
      <c r="C14" s="2" t="s">
        <v>66</v>
      </c>
      <c r="D14" s="2" t="s">
        <v>43</v>
      </c>
      <c r="E14" s="2" t="s">
        <v>4</v>
      </c>
      <c r="F14" s="4" t="str">
        <f aca="false">VLOOKUP(TRIM($E14),'co-so-du-lieu-virus'!$A$2:$D$9,2,FALSE())</f>
        <v>CryptoLock.A</v>
      </c>
      <c r="G14" s="4" t="str">
        <f aca="false">VLOOKUP(TRIM($E14),'co-so-du-lieu-virus'!$A$2:$D$9,3,FALSE())</f>
        <v>Ransomware</v>
      </c>
      <c r="H14" s="4" t="str">
        <f aca="false">VLOOKUP(TRIM($E14),'co-so-du-lieu-virus'!$A$2:$D$9,4,FALSE())</f>
        <v>Nghiêm trọng</v>
      </c>
    </row>
    <row r="15" customFormat="false" ht="15" hidden="false" customHeight="false" outlineLevel="0" collapsed="false">
      <c r="A15" s="2" t="s">
        <v>67</v>
      </c>
      <c r="B15" s="3" t="n">
        <v>46299.3236111111</v>
      </c>
      <c r="C15" s="2" t="s">
        <v>68</v>
      </c>
      <c r="D15" s="2" t="s">
        <v>64</v>
      </c>
      <c r="E15" s="2" t="s">
        <v>26</v>
      </c>
      <c r="F15" s="4" t="str">
        <f aca="false">VLOOKUP(TRIM($E15),'co-so-du-lieu-virus'!$A$2:$D$9,2,FALSE())</f>
        <v>KeyWatch</v>
      </c>
      <c r="G15" s="4" t="str">
        <f aca="false">VLOOKUP(TRIM($E15),'co-so-du-lieu-virus'!$A$2:$D$9,3,FALSE())</f>
        <v>Spyware</v>
      </c>
      <c r="H15" s="4" t="str">
        <f aca="false">VLOOKUP(TRIM($E15),'co-so-du-lieu-virus'!$A$2:$D$9,4,FALSE())</f>
        <v>Trung bình</v>
      </c>
    </row>
    <row r="16" customFormat="false" ht="15" hidden="false" customHeight="false" outlineLevel="0" collapsed="false">
      <c r="A16" s="2" t="s">
        <v>69</v>
      </c>
      <c r="B16" s="3" t="n">
        <v>46311.3319444444</v>
      </c>
      <c r="C16" s="2" t="s">
        <v>70</v>
      </c>
      <c r="D16" s="2" t="s">
        <v>71</v>
      </c>
      <c r="E16" s="2" t="s">
        <v>10</v>
      </c>
      <c r="F16" s="4" t="str">
        <f aca="false">VLOOKUP(TRIM($E16),'co-so-du-lieu-virus'!$A$2:$D$9,2,FALSE())</f>
        <v>BankStealer.X</v>
      </c>
      <c r="G16" s="4" t="str">
        <f aca="false">VLOOKUP(TRIM($E16),'co-so-du-lieu-virus'!$A$2:$D$9,3,FALSE())</f>
        <v>Trojan</v>
      </c>
      <c r="H16" s="4" t="str">
        <f aca="false">VLOOKUP(TRIM($E16),'co-so-du-lieu-virus'!$A$2:$D$9,4,FALSE())</f>
        <v>Cao</v>
      </c>
    </row>
    <row r="17" customFormat="false" ht="15" hidden="false" customHeight="false" outlineLevel="0" collapsed="false">
      <c r="A17" s="2" t="s">
        <v>72</v>
      </c>
      <c r="B17" s="3" t="n">
        <v>46301.3694444444</v>
      </c>
      <c r="C17" s="2" t="s">
        <v>73</v>
      </c>
      <c r="D17" s="2" t="s">
        <v>49</v>
      </c>
      <c r="E17" s="2" t="s">
        <v>10</v>
      </c>
      <c r="F17" s="4" t="str">
        <f aca="false">VLOOKUP(TRIM($E17),'co-so-du-lieu-virus'!$A$2:$D$9,2,FALSE())</f>
        <v>BankStealer.X</v>
      </c>
      <c r="G17" s="4" t="str">
        <f aca="false">VLOOKUP(TRIM($E17),'co-so-du-lieu-virus'!$A$2:$D$9,3,FALSE())</f>
        <v>Trojan</v>
      </c>
      <c r="H17" s="4" t="str">
        <f aca="false">VLOOKUP(TRIM($E17),'co-so-du-lieu-virus'!$A$2:$D$9,4,FALSE())</f>
        <v>Cao</v>
      </c>
    </row>
    <row r="18" customFormat="false" ht="15" hidden="false" customHeight="false" outlineLevel="0" collapsed="false">
      <c r="A18" s="2" t="s">
        <v>74</v>
      </c>
      <c r="B18" s="3" t="n">
        <v>46318.1555555556</v>
      </c>
      <c r="C18" s="2" t="s">
        <v>75</v>
      </c>
      <c r="D18" s="2" t="s">
        <v>64</v>
      </c>
      <c r="E18" s="2" t="s">
        <v>76</v>
      </c>
      <c r="F18" s="4" t="str">
        <f aca="false">VLOOKUP(TRIM($E18),'co-so-du-lieu-virus'!$A$2:$D$9,2,FALSE())</f>
        <v>SilentSpy</v>
      </c>
      <c r="G18" s="4" t="str">
        <f aca="false">VLOOKUP(TRIM($E18),'co-so-du-lieu-virus'!$A$2:$D$9,3,FALSE())</f>
        <v>Spyware</v>
      </c>
      <c r="H18" s="4" t="str">
        <f aca="false">VLOOKUP(TRIM($E18),'co-so-du-lieu-virus'!$A$2:$D$9,4,FALSE())</f>
        <v>Trung bình</v>
      </c>
    </row>
    <row r="19" customFormat="false" ht="15" hidden="false" customHeight="false" outlineLevel="0" collapsed="false">
      <c r="A19" s="2" t="s">
        <v>77</v>
      </c>
      <c r="B19" s="3" t="n">
        <v>46304.6777777778</v>
      </c>
      <c r="C19" s="2" t="s">
        <v>78</v>
      </c>
      <c r="D19" s="2" t="s">
        <v>49</v>
      </c>
      <c r="E19" s="2" t="s">
        <v>16</v>
      </c>
      <c r="F19" s="4" t="str">
        <f aca="false">VLOOKUP(TRIM($E19),'co-so-du-lieu-virus'!$A$2:$D$9,2,FALSE())</f>
        <v>NetCrawler</v>
      </c>
      <c r="G19" s="4" t="str">
        <f aca="false">VLOOKUP(TRIM($E19),'co-so-du-lieu-virus'!$A$2:$D$9,3,FALSE())</f>
        <v>Worm</v>
      </c>
      <c r="H19" s="4" t="str">
        <f aca="false">VLOOKUP(TRIM($E19),'co-so-du-lieu-virus'!$A$2:$D$9,4,FALSE())</f>
        <v>Cao</v>
      </c>
    </row>
    <row r="20" customFormat="false" ht="15" hidden="false" customHeight="false" outlineLevel="0" collapsed="false">
      <c r="A20" s="2" t="s">
        <v>79</v>
      </c>
      <c r="B20" s="3" t="n">
        <v>46313.9701388889</v>
      </c>
      <c r="C20" s="2" t="s">
        <v>80</v>
      </c>
      <c r="D20" s="2" t="s">
        <v>49</v>
      </c>
      <c r="E20" s="2" t="s">
        <v>14</v>
      </c>
      <c r="F20" s="4" t="str">
        <f aca="false">VLOOKUP(TRIM($E20),'co-so-du-lieu-virus'!$A$2:$D$9,2,FALSE())</f>
        <v>RemoteShell.T</v>
      </c>
      <c r="G20" s="4" t="str">
        <f aca="false">VLOOKUP(TRIM($E20),'co-so-du-lieu-virus'!$A$2:$D$9,3,FALSE())</f>
        <v>Trojan</v>
      </c>
      <c r="H20" s="4" t="str">
        <f aca="false">VLOOKUP(TRIM($E20),'co-so-du-lieu-virus'!$A$2:$D$9,4,FALSE())</f>
        <v>Cao</v>
      </c>
    </row>
    <row r="21" customFormat="false" ht="15" hidden="false" customHeight="false" outlineLevel="0" collapsed="false">
      <c r="A21" s="2" t="s">
        <v>81</v>
      </c>
      <c r="B21" s="3" t="n">
        <v>46309.8416666667</v>
      </c>
      <c r="C21" s="2" t="s">
        <v>82</v>
      </c>
      <c r="D21" s="2" t="s">
        <v>46</v>
      </c>
      <c r="E21" s="2" t="s">
        <v>4</v>
      </c>
      <c r="F21" s="4" t="str">
        <f aca="false">VLOOKUP(TRIM($E21),'co-so-du-lieu-virus'!$A$2:$D$9,2,FALSE())</f>
        <v>CryptoLock.A</v>
      </c>
      <c r="G21" s="4" t="str">
        <f aca="false">VLOOKUP(TRIM($E21),'co-so-du-lieu-virus'!$A$2:$D$9,3,FALSE())</f>
        <v>Ransomware</v>
      </c>
      <c r="H21" s="4" t="str">
        <f aca="false">VLOOKUP(TRIM($E21),'co-so-du-lieu-virus'!$A$2:$D$9,4,FALSE())</f>
        <v>Nghiêm trọng</v>
      </c>
    </row>
    <row r="22" customFormat="false" ht="15" hidden="false" customHeight="false" outlineLevel="0" collapsed="false">
      <c r="A22" s="2" t="s">
        <v>83</v>
      </c>
      <c r="B22" s="3" t="n">
        <v>46300.5659722222</v>
      </c>
      <c r="C22" s="2" t="s">
        <v>84</v>
      </c>
      <c r="D22" s="2" t="s">
        <v>49</v>
      </c>
      <c r="E22" s="2" t="s">
        <v>10</v>
      </c>
      <c r="F22" s="4" t="str">
        <f aca="false">VLOOKUP(TRIM($E22),'co-so-du-lieu-virus'!$A$2:$D$9,2,FALSE())</f>
        <v>BankStealer.X</v>
      </c>
      <c r="G22" s="4" t="str">
        <f aca="false">VLOOKUP(TRIM($E22),'co-so-du-lieu-virus'!$A$2:$D$9,3,FALSE())</f>
        <v>Trojan</v>
      </c>
      <c r="H22" s="4" t="str">
        <f aca="false">VLOOKUP(TRIM($E22),'co-so-du-lieu-virus'!$A$2:$D$9,4,FALSE())</f>
        <v>Cao</v>
      </c>
    </row>
    <row r="23" customFormat="false" ht="15" hidden="false" customHeight="false" outlineLevel="0" collapsed="false">
      <c r="A23" s="2" t="s">
        <v>85</v>
      </c>
      <c r="B23" s="3" t="n">
        <v>46310.9708333333</v>
      </c>
      <c r="C23" s="2" t="s">
        <v>86</v>
      </c>
      <c r="D23" s="2" t="s">
        <v>71</v>
      </c>
      <c r="E23" s="2" t="s">
        <v>10</v>
      </c>
      <c r="F23" s="4" t="str">
        <f aca="false">VLOOKUP(TRIM($E23),'co-so-du-lieu-virus'!$A$2:$D$9,2,FALSE())</f>
        <v>BankStealer.X</v>
      </c>
      <c r="G23" s="4" t="str">
        <f aca="false">VLOOKUP(TRIM($E23),'co-so-du-lieu-virus'!$A$2:$D$9,3,FALSE())</f>
        <v>Trojan</v>
      </c>
      <c r="H23" s="4" t="str">
        <f aca="false">VLOOKUP(TRIM($E23),'co-so-du-lieu-virus'!$A$2:$D$9,4,FALSE())</f>
        <v>Cao</v>
      </c>
    </row>
    <row r="24" customFormat="false" ht="15" hidden="false" customHeight="false" outlineLevel="0" collapsed="false">
      <c r="A24" s="2" t="s">
        <v>87</v>
      </c>
      <c r="B24" s="3" t="n">
        <v>46307.0597222222</v>
      </c>
      <c r="C24" s="2" t="s">
        <v>88</v>
      </c>
      <c r="D24" s="2" t="s">
        <v>34</v>
      </c>
      <c r="E24" s="2" t="s">
        <v>89</v>
      </c>
      <c r="F24" s="4" t="str">
        <f aca="false">VLOOKUP(TRIM($E24),'co-so-du-lieu-virus'!$A$2:$D$9,2,FALSE())</f>
        <v>BankStealer.X</v>
      </c>
      <c r="G24" s="4" t="str">
        <f aca="false">VLOOKUP(TRIM($E24),'co-so-du-lieu-virus'!$A$2:$D$9,3,FALSE())</f>
        <v>Trojan</v>
      </c>
      <c r="H24" s="4" t="str">
        <f aca="false">VLOOKUP(TRIM($E24),'co-so-du-lieu-virus'!$A$2:$D$9,4,FALSE())</f>
        <v>Cao</v>
      </c>
    </row>
    <row r="25" customFormat="false" ht="15" hidden="false" customHeight="false" outlineLevel="0" collapsed="false">
      <c r="A25" s="2" t="s">
        <v>90</v>
      </c>
      <c r="B25" s="3" t="n">
        <v>46301.7895833333</v>
      </c>
      <c r="C25" s="2" t="s">
        <v>91</v>
      </c>
      <c r="D25" s="2" t="s">
        <v>34</v>
      </c>
      <c r="E25" s="2" t="s">
        <v>10</v>
      </c>
      <c r="F25" s="4" t="str">
        <f aca="false">VLOOKUP(TRIM($E25),'co-so-du-lieu-virus'!$A$2:$D$9,2,FALSE())</f>
        <v>BankStealer.X</v>
      </c>
      <c r="G25" s="4" t="str">
        <f aca="false">VLOOKUP(TRIM($E25),'co-so-du-lieu-virus'!$A$2:$D$9,3,FALSE())</f>
        <v>Trojan</v>
      </c>
      <c r="H25" s="4" t="str">
        <f aca="false">VLOOKUP(TRIM($E25),'co-so-du-lieu-virus'!$A$2:$D$9,4,FALSE())</f>
        <v>Cao</v>
      </c>
    </row>
    <row r="26" customFormat="false" ht="15" hidden="false" customHeight="false" outlineLevel="0" collapsed="false">
      <c r="A26" s="2" t="s">
        <v>92</v>
      </c>
      <c r="B26" s="3" t="n">
        <v>46313.5715277778</v>
      </c>
      <c r="C26" s="2" t="s">
        <v>93</v>
      </c>
      <c r="D26" s="2" t="s">
        <v>64</v>
      </c>
      <c r="E26" s="2" t="s">
        <v>14</v>
      </c>
      <c r="F26" s="4" t="str">
        <f aca="false">VLOOKUP(TRIM($E26),'co-so-du-lieu-virus'!$A$2:$D$9,2,FALSE())</f>
        <v>RemoteShell.T</v>
      </c>
      <c r="G26" s="4" t="str">
        <f aca="false">VLOOKUP(TRIM($E26),'co-so-du-lieu-virus'!$A$2:$D$9,3,FALSE())</f>
        <v>Trojan</v>
      </c>
      <c r="H26" s="4" t="str">
        <f aca="false">VLOOKUP(TRIM($E26),'co-so-du-lieu-virus'!$A$2:$D$9,4,FALSE())</f>
        <v>Cao</v>
      </c>
    </row>
    <row r="27" customFormat="false" ht="15" hidden="false" customHeight="false" outlineLevel="0" collapsed="false">
      <c r="A27" s="2" t="s">
        <v>94</v>
      </c>
      <c r="B27" s="3" t="n">
        <v>46307.3548611111</v>
      </c>
      <c r="C27" s="2" t="s">
        <v>95</v>
      </c>
      <c r="D27" s="2" t="s">
        <v>49</v>
      </c>
      <c r="E27" s="2" t="s">
        <v>8</v>
      </c>
      <c r="F27" s="4" t="str">
        <f aca="false">VLOOKUP(TRIM($E27),'co-so-du-lieu-virus'!$A$2:$D$9,2,FALSE())</f>
        <v>NightLocker</v>
      </c>
      <c r="G27" s="4" t="str">
        <f aca="false">VLOOKUP(TRIM($E27),'co-so-du-lieu-virus'!$A$2:$D$9,3,FALSE())</f>
        <v>Ransomware</v>
      </c>
      <c r="H27" s="4" t="str">
        <f aca="false">VLOOKUP(TRIM($E27),'co-so-du-lieu-virus'!$A$2:$D$9,4,FALSE())</f>
        <v>Nghiêm trọng</v>
      </c>
    </row>
    <row r="28" customFormat="false" ht="15" hidden="false" customHeight="false" outlineLevel="0" collapsed="false">
      <c r="A28" s="2" t="s">
        <v>96</v>
      </c>
      <c r="B28" s="3" t="n">
        <v>46321.2097222222</v>
      </c>
      <c r="C28" s="2" t="s">
        <v>97</v>
      </c>
      <c r="D28" s="2" t="s">
        <v>64</v>
      </c>
      <c r="E28" s="2" t="s">
        <v>8</v>
      </c>
      <c r="F28" s="4" t="str">
        <f aca="false">VLOOKUP(TRIM($E28),'co-so-du-lieu-virus'!$A$2:$D$9,2,FALSE())</f>
        <v>NightLocker</v>
      </c>
      <c r="G28" s="4" t="str">
        <f aca="false">VLOOKUP(TRIM($E28),'co-so-du-lieu-virus'!$A$2:$D$9,3,FALSE())</f>
        <v>Ransomware</v>
      </c>
      <c r="H28" s="4" t="str">
        <f aca="false">VLOOKUP(TRIM($E28),'co-so-du-lieu-virus'!$A$2:$D$9,4,FALSE())</f>
        <v>Nghiêm trọng</v>
      </c>
    </row>
    <row r="29" customFormat="false" ht="15" hidden="false" customHeight="false" outlineLevel="0" collapsed="false">
      <c r="A29" s="2" t="s">
        <v>98</v>
      </c>
      <c r="B29" s="3" t="n">
        <v>46299.5722222222</v>
      </c>
      <c r="C29" s="2" t="s">
        <v>80</v>
      </c>
      <c r="D29" s="2" t="s">
        <v>46</v>
      </c>
      <c r="E29" s="2" t="s">
        <v>26</v>
      </c>
      <c r="F29" s="4" t="str">
        <f aca="false">VLOOKUP(TRIM($E29),'co-so-du-lieu-virus'!$A$2:$D$9,2,FALSE())</f>
        <v>KeyWatch</v>
      </c>
      <c r="G29" s="4" t="str">
        <f aca="false">VLOOKUP(TRIM($E29),'co-so-du-lieu-virus'!$A$2:$D$9,3,FALSE())</f>
        <v>Spyware</v>
      </c>
      <c r="H29" s="4" t="str">
        <f aca="false">VLOOKUP(TRIM($E29),'co-so-du-lieu-virus'!$A$2:$D$9,4,FALSE())</f>
        <v>Trung bình</v>
      </c>
    </row>
    <row r="30" customFormat="false" ht="15" hidden="false" customHeight="false" outlineLevel="0" collapsed="false">
      <c r="A30" s="2" t="s">
        <v>99</v>
      </c>
      <c r="B30" s="3" t="n">
        <v>46306.85</v>
      </c>
      <c r="C30" s="2" t="s">
        <v>100</v>
      </c>
      <c r="D30" s="2" t="s">
        <v>64</v>
      </c>
      <c r="E30" s="2" t="s">
        <v>101</v>
      </c>
      <c r="F30" s="4" t="str">
        <f aca="false">VLOOKUP(TRIM($E30),'co-so-du-lieu-virus'!$A$2:$D$9,2,FALSE())</f>
        <v>NightLocker</v>
      </c>
      <c r="G30" s="4" t="str">
        <f aca="false">VLOOKUP(TRIM($E30),'co-so-du-lieu-virus'!$A$2:$D$9,3,FALSE())</f>
        <v>Ransomware</v>
      </c>
      <c r="H30" s="4" t="str">
        <f aca="false">VLOOKUP(TRIM($E30),'co-so-du-lieu-virus'!$A$2:$D$9,4,FALSE())</f>
        <v>Nghiêm trọng</v>
      </c>
    </row>
    <row r="31" customFormat="false" ht="15" hidden="false" customHeight="false" outlineLevel="0" collapsed="false">
      <c r="A31" s="2" t="s">
        <v>102</v>
      </c>
      <c r="B31" s="3" t="n">
        <v>46318.3458333333</v>
      </c>
      <c r="C31" s="2" t="s">
        <v>103</v>
      </c>
      <c r="D31" s="2" t="s">
        <v>34</v>
      </c>
      <c r="E31" s="2" t="s">
        <v>10</v>
      </c>
      <c r="F31" s="4" t="str">
        <f aca="false">VLOOKUP(TRIM($E31),'co-so-du-lieu-virus'!$A$2:$D$9,2,FALSE())</f>
        <v>BankStealer.X</v>
      </c>
      <c r="G31" s="4" t="str">
        <f aca="false">VLOOKUP(TRIM($E31),'co-so-du-lieu-virus'!$A$2:$D$9,3,FALSE())</f>
        <v>Trojan</v>
      </c>
      <c r="H31" s="4" t="str">
        <f aca="false">VLOOKUP(TRIM($E31),'co-so-du-lieu-virus'!$A$2:$D$9,4,FALSE())</f>
        <v>Cao</v>
      </c>
    </row>
    <row r="32" customFormat="false" ht="15" hidden="false" customHeight="false" outlineLevel="0" collapsed="false">
      <c r="A32" s="2" t="s">
        <v>104</v>
      </c>
      <c r="B32" s="3" t="n">
        <v>46299.1298611111</v>
      </c>
      <c r="C32" s="2" t="s">
        <v>105</v>
      </c>
      <c r="D32" s="2" t="s">
        <v>49</v>
      </c>
      <c r="E32" s="2" t="s">
        <v>8</v>
      </c>
      <c r="F32" s="4" t="str">
        <f aca="false">VLOOKUP(TRIM($E32),'co-so-du-lieu-virus'!$A$2:$D$9,2,FALSE())</f>
        <v>NightLocker</v>
      </c>
      <c r="G32" s="4" t="str">
        <f aca="false">VLOOKUP(TRIM($E32),'co-so-du-lieu-virus'!$A$2:$D$9,3,FALSE())</f>
        <v>Ransomware</v>
      </c>
      <c r="H32" s="4" t="str">
        <f aca="false">VLOOKUP(TRIM($E32),'co-so-du-lieu-virus'!$A$2:$D$9,4,FALSE())</f>
        <v>Nghiêm trọng</v>
      </c>
    </row>
    <row r="33" customFormat="false" ht="15" hidden="false" customHeight="false" outlineLevel="0" collapsed="false">
      <c r="A33" s="2" t="s">
        <v>106</v>
      </c>
      <c r="B33" s="3" t="n">
        <v>46299.3736111111</v>
      </c>
      <c r="C33" s="2" t="s">
        <v>107</v>
      </c>
      <c r="D33" s="2" t="s">
        <v>49</v>
      </c>
      <c r="E33" s="2" t="s">
        <v>14</v>
      </c>
      <c r="F33" s="4" t="str">
        <f aca="false">VLOOKUP(TRIM($E33),'co-so-du-lieu-virus'!$A$2:$D$9,2,FALSE())</f>
        <v>RemoteShell.T</v>
      </c>
      <c r="G33" s="4" t="str">
        <f aca="false">VLOOKUP(TRIM($E33),'co-so-du-lieu-virus'!$A$2:$D$9,3,FALSE())</f>
        <v>Trojan</v>
      </c>
      <c r="H33" s="4" t="str">
        <f aca="false">VLOOKUP(TRIM($E33),'co-so-du-lieu-virus'!$A$2:$D$9,4,FALSE())</f>
        <v>Cao</v>
      </c>
    </row>
    <row r="34" customFormat="false" ht="15" hidden="false" customHeight="false" outlineLevel="0" collapsed="false">
      <c r="A34" s="2" t="s">
        <v>108</v>
      </c>
      <c r="B34" s="3" t="n">
        <v>46296.7541666667</v>
      </c>
      <c r="C34" s="2" t="s">
        <v>109</v>
      </c>
      <c r="D34" s="2" t="s">
        <v>71</v>
      </c>
      <c r="E34" s="2" t="s">
        <v>26</v>
      </c>
      <c r="F34" s="4" t="str">
        <f aca="false">VLOOKUP(TRIM($E34),'co-so-du-lieu-virus'!$A$2:$D$9,2,FALSE())</f>
        <v>KeyWatch</v>
      </c>
      <c r="G34" s="4" t="str">
        <f aca="false">VLOOKUP(TRIM($E34),'co-so-du-lieu-virus'!$A$2:$D$9,3,FALSE())</f>
        <v>Spyware</v>
      </c>
      <c r="H34" s="4" t="str">
        <f aca="false">VLOOKUP(TRIM($E34),'co-so-du-lieu-virus'!$A$2:$D$9,4,FALSE())</f>
        <v>Trung bình</v>
      </c>
    </row>
    <row r="35" customFormat="false" ht="15" hidden="false" customHeight="false" outlineLevel="0" collapsed="false">
      <c r="A35" s="2" t="s">
        <v>110</v>
      </c>
      <c r="B35" s="3" t="n">
        <v>46298.1201388889</v>
      </c>
      <c r="C35" s="2" t="s">
        <v>75</v>
      </c>
      <c r="D35" s="2" t="s">
        <v>71</v>
      </c>
      <c r="E35" s="2" t="s">
        <v>14</v>
      </c>
      <c r="F35" s="4" t="str">
        <f aca="false">VLOOKUP(TRIM($E35),'co-so-du-lieu-virus'!$A$2:$D$9,2,FALSE())</f>
        <v>RemoteShell.T</v>
      </c>
      <c r="G35" s="4" t="str">
        <f aca="false">VLOOKUP(TRIM($E35),'co-so-du-lieu-virus'!$A$2:$D$9,3,FALSE())</f>
        <v>Trojan</v>
      </c>
      <c r="H35" s="4" t="str">
        <f aca="false">VLOOKUP(TRIM($E35),'co-so-du-lieu-virus'!$A$2:$D$9,4,FALSE())</f>
        <v>Cao</v>
      </c>
    </row>
    <row r="36" customFormat="false" ht="15" hidden="false" customHeight="false" outlineLevel="0" collapsed="false">
      <c r="A36" s="2" t="s">
        <v>111</v>
      </c>
      <c r="B36" s="3" t="n">
        <v>46301.9881944444</v>
      </c>
      <c r="C36" s="2" t="s">
        <v>39</v>
      </c>
      <c r="D36" s="2" t="s">
        <v>71</v>
      </c>
      <c r="E36" s="2" t="s">
        <v>10</v>
      </c>
      <c r="F36" s="4" t="str">
        <f aca="false">VLOOKUP(TRIM($E36),'co-so-du-lieu-virus'!$A$2:$D$9,2,FALSE())</f>
        <v>BankStealer.X</v>
      </c>
      <c r="G36" s="4" t="str">
        <f aca="false">VLOOKUP(TRIM($E36),'co-so-du-lieu-virus'!$A$2:$D$9,3,FALSE())</f>
        <v>Trojan</v>
      </c>
      <c r="H36" s="4" t="str">
        <f aca="false">VLOOKUP(TRIM($E36),'co-so-du-lieu-virus'!$A$2:$D$9,4,FALSE())</f>
        <v>Cao</v>
      </c>
    </row>
    <row r="37" customFormat="false" ht="15" hidden="false" customHeight="false" outlineLevel="0" collapsed="false">
      <c r="A37" s="2" t="s">
        <v>112</v>
      </c>
      <c r="B37" s="3" t="n">
        <v>46311.0625</v>
      </c>
      <c r="C37" s="2" t="s">
        <v>113</v>
      </c>
      <c r="D37" s="2" t="s">
        <v>64</v>
      </c>
      <c r="E37" s="2" t="s">
        <v>8</v>
      </c>
      <c r="F37" s="4" t="str">
        <f aca="false">VLOOKUP(TRIM($E37),'co-so-du-lieu-virus'!$A$2:$D$9,2,FALSE())</f>
        <v>NightLocker</v>
      </c>
      <c r="G37" s="4" t="str">
        <f aca="false">VLOOKUP(TRIM($E37),'co-so-du-lieu-virus'!$A$2:$D$9,3,FALSE())</f>
        <v>Ransomware</v>
      </c>
      <c r="H37" s="4" t="str">
        <f aca="false">VLOOKUP(TRIM($E37),'co-so-du-lieu-virus'!$A$2:$D$9,4,FALSE())</f>
        <v>Nghiêm trọng</v>
      </c>
    </row>
    <row r="38" customFormat="false" ht="15" hidden="false" customHeight="false" outlineLevel="0" collapsed="false">
      <c r="A38" s="2" t="s">
        <v>114</v>
      </c>
      <c r="B38" s="3" t="n">
        <v>46302.3868055556</v>
      </c>
      <c r="C38" s="2" t="s">
        <v>115</v>
      </c>
      <c r="D38" s="2" t="s">
        <v>46</v>
      </c>
      <c r="E38" s="2" t="s">
        <v>19</v>
      </c>
      <c r="F38" s="4" t="str">
        <f aca="false">VLOOKUP(TRIM($E38),'co-so-du-lieu-virus'!$A$2:$D$9,2,FALSE())</f>
        <v>SilentSpy</v>
      </c>
      <c r="G38" s="4" t="str">
        <f aca="false">VLOOKUP(TRIM($E38),'co-so-du-lieu-virus'!$A$2:$D$9,3,FALSE())</f>
        <v>Spyware</v>
      </c>
      <c r="H38" s="4" t="str">
        <f aca="false">VLOOKUP(TRIM($E38),'co-so-du-lieu-virus'!$A$2:$D$9,4,FALSE())</f>
        <v>Trung bình</v>
      </c>
    </row>
    <row r="39" customFormat="false" ht="15" hidden="false" customHeight="false" outlineLevel="0" collapsed="false">
      <c r="A39" s="2" t="s">
        <v>116</v>
      </c>
      <c r="B39" s="3" t="n">
        <v>46312.26875</v>
      </c>
      <c r="C39" s="2" t="s">
        <v>117</v>
      </c>
      <c r="D39" s="2" t="s">
        <v>71</v>
      </c>
      <c r="E39" s="2" t="s">
        <v>26</v>
      </c>
      <c r="F39" s="4" t="str">
        <f aca="false">VLOOKUP(TRIM($E39),'co-so-du-lieu-virus'!$A$2:$D$9,2,FALSE())</f>
        <v>KeyWatch</v>
      </c>
      <c r="G39" s="4" t="str">
        <f aca="false">VLOOKUP(TRIM($E39),'co-so-du-lieu-virus'!$A$2:$D$9,3,FALSE())</f>
        <v>Spyware</v>
      </c>
      <c r="H39" s="4" t="str">
        <f aca="false">VLOOKUP(TRIM($E39),'co-so-du-lieu-virus'!$A$2:$D$9,4,FALSE())</f>
        <v>Trung bình</v>
      </c>
    </row>
    <row r="40" customFormat="false" ht="15" hidden="false" customHeight="false" outlineLevel="0" collapsed="false">
      <c r="A40" s="2" t="s">
        <v>118</v>
      </c>
      <c r="B40" s="3" t="n">
        <v>46299.4055555556</v>
      </c>
      <c r="C40" s="2" t="s">
        <v>119</v>
      </c>
      <c r="D40" s="2" t="s">
        <v>46</v>
      </c>
      <c r="E40" s="2" t="s">
        <v>120</v>
      </c>
      <c r="F40" s="4" t="str">
        <f aca="false">VLOOKUP(TRIM($E40),'co-so-du-lieu-virus'!$A$2:$D$9,2,FALSE())</f>
        <v>KeyWatch</v>
      </c>
      <c r="G40" s="4" t="str">
        <f aca="false">VLOOKUP(TRIM($E40),'co-so-du-lieu-virus'!$A$2:$D$9,3,FALSE())</f>
        <v>Spyware</v>
      </c>
      <c r="H40" s="4" t="str">
        <f aca="false">VLOOKUP(TRIM($E40),'co-so-du-lieu-virus'!$A$2:$D$9,4,FALSE())</f>
        <v>Trung bình</v>
      </c>
    </row>
    <row r="41" customFormat="false" ht="15" hidden="false" customHeight="false" outlineLevel="0" collapsed="false">
      <c r="A41" s="2" t="s">
        <v>121</v>
      </c>
      <c r="B41" s="3" t="n">
        <v>46299.2958333333</v>
      </c>
      <c r="C41" s="2" t="s">
        <v>122</v>
      </c>
      <c r="D41" s="2" t="s">
        <v>43</v>
      </c>
      <c r="E41" s="2" t="s">
        <v>19</v>
      </c>
      <c r="F41" s="4" t="str">
        <f aca="false">VLOOKUP(TRIM($E41),'co-so-du-lieu-virus'!$A$2:$D$9,2,FALSE())</f>
        <v>SilentSpy</v>
      </c>
      <c r="G41" s="4" t="str">
        <f aca="false">VLOOKUP(TRIM($E41),'co-so-du-lieu-virus'!$A$2:$D$9,3,FALSE())</f>
        <v>Spyware</v>
      </c>
      <c r="H41" s="4" t="str">
        <f aca="false">VLOOKUP(TRIM($E41),'co-so-du-lieu-virus'!$A$2:$D$9,4,FALSE())</f>
        <v>Trung bình</v>
      </c>
    </row>
    <row r="42" customFormat="false" ht="15" hidden="false" customHeight="false" outlineLevel="0" collapsed="false">
      <c r="A42" s="2" t="s">
        <v>123</v>
      </c>
      <c r="B42" s="3" t="n">
        <v>46301.8951388889</v>
      </c>
      <c r="C42" s="2" t="s">
        <v>124</v>
      </c>
      <c r="D42" s="2" t="s">
        <v>71</v>
      </c>
      <c r="E42" s="2" t="s">
        <v>16</v>
      </c>
      <c r="F42" s="4" t="str">
        <f aca="false">VLOOKUP(TRIM($E42),'co-so-du-lieu-virus'!$A$2:$D$9,2,FALSE())</f>
        <v>NetCrawler</v>
      </c>
      <c r="G42" s="4" t="str">
        <f aca="false">VLOOKUP(TRIM($E42),'co-so-du-lieu-virus'!$A$2:$D$9,3,FALSE())</f>
        <v>Worm</v>
      </c>
      <c r="H42" s="4" t="str">
        <f aca="false">VLOOKUP(TRIM($E42),'co-so-du-lieu-virus'!$A$2:$D$9,4,FALSE())</f>
        <v>Cao</v>
      </c>
    </row>
    <row r="43" customFormat="false" ht="15" hidden="false" customHeight="false" outlineLevel="0" collapsed="false">
      <c r="A43" s="2" t="s">
        <v>125</v>
      </c>
      <c r="B43" s="3" t="n">
        <v>46299.5347222222</v>
      </c>
      <c r="C43" s="2" t="s">
        <v>126</v>
      </c>
      <c r="D43" s="2" t="s">
        <v>43</v>
      </c>
      <c r="E43" s="2" t="s">
        <v>10</v>
      </c>
      <c r="F43" s="4" t="str">
        <f aca="false">VLOOKUP(TRIM($E43),'co-so-du-lieu-virus'!$A$2:$D$9,2,FALSE())</f>
        <v>BankStealer.X</v>
      </c>
      <c r="G43" s="4" t="str">
        <f aca="false">VLOOKUP(TRIM($E43),'co-so-du-lieu-virus'!$A$2:$D$9,3,FALSE())</f>
        <v>Trojan</v>
      </c>
      <c r="H43" s="4" t="str">
        <f aca="false">VLOOKUP(TRIM($E43),'co-so-du-lieu-virus'!$A$2:$D$9,4,FALSE())</f>
        <v>Cao</v>
      </c>
    </row>
    <row r="44" customFormat="false" ht="15" hidden="false" customHeight="false" outlineLevel="0" collapsed="false">
      <c r="A44" s="2" t="s">
        <v>127</v>
      </c>
      <c r="B44" s="3" t="n">
        <v>46296.6611111111</v>
      </c>
      <c r="C44" s="2" t="s">
        <v>45</v>
      </c>
      <c r="D44" s="2" t="s">
        <v>64</v>
      </c>
      <c r="E44" s="2" t="s">
        <v>128</v>
      </c>
      <c r="F44" s="4" t="str">
        <f aca="false">VLOOKUP(TRIM($E44),'co-so-du-lieu-virus'!$A$2:$D$9,2,FALSE())</f>
        <v>KeyWatch</v>
      </c>
      <c r="G44" s="4" t="str">
        <f aca="false">VLOOKUP(TRIM($E44),'co-so-du-lieu-virus'!$A$2:$D$9,3,FALSE())</f>
        <v>Spyware</v>
      </c>
      <c r="H44" s="4" t="str">
        <f aca="false">VLOOKUP(TRIM($E44),'co-so-du-lieu-virus'!$A$2:$D$9,4,FALSE())</f>
        <v>Trung bình</v>
      </c>
    </row>
    <row r="45" customFormat="false" ht="15" hidden="false" customHeight="false" outlineLevel="0" collapsed="false">
      <c r="A45" s="2" t="s">
        <v>129</v>
      </c>
      <c r="B45" s="3" t="n">
        <v>46299.2875</v>
      </c>
      <c r="C45" s="2" t="s">
        <v>130</v>
      </c>
      <c r="D45" s="2" t="s">
        <v>46</v>
      </c>
      <c r="E45" s="2" t="s">
        <v>10</v>
      </c>
      <c r="F45" s="4" t="str">
        <f aca="false">VLOOKUP(TRIM($E45),'co-so-du-lieu-virus'!$A$2:$D$9,2,FALSE())</f>
        <v>BankStealer.X</v>
      </c>
      <c r="G45" s="4" t="str">
        <f aca="false">VLOOKUP(TRIM($E45),'co-so-du-lieu-virus'!$A$2:$D$9,3,FALSE())</f>
        <v>Trojan</v>
      </c>
      <c r="H45" s="4" t="str">
        <f aca="false">VLOOKUP(TRIM($E45),'co-so-du-lieu-virus'!$A$2:$D$9,4,FALSE())</f>
        <v>Cao</v>
      </c>
    </row>
    <row r="46" customFormat="false" ht="15" hidden="false" customHeight="false" outlineLevel="0" collapsed="false">
      <c r="A46" s="2" t="s">
        <v>131</v>
      </c>
      <c r="B46" s="3" t="n">
        <v>46314.94375</v>
      </c>
      <c r="C46" s="2" t="s">
        <v>132</v>
      </c>
      <c r="D46" s="2" t="s">
        <v>71</v>
      </c>
      <c r="E46" s="2" t="s">
        <v>16</v>
      </c>
      <c r="F46" s="4" t="str">
        <f aca="false">VLOOKUP(TRIM($E46),'co-so-du-lieu-virus'!$A$2:$D$9,2,FALSE())</f>
        <v>NetCrawler</v>
      </c>
      <c r="G46" s="4" t="str">
        <f aca="false">VLOOKUP(TRIM($E46),'co-so-du-lieu-virus'!$A$2:$D$9,3,FALSE())</f>
        <v>Worm</v>
      </c>
      <c r="H46" s="4" t="str">
        <f aca="false">VLOOKUP(TRIM($E46),'co-so-du-lieu-virus'!$A$2:$D$9,4,FALSE())</f>
        <v>Cao</v>
      </c>
    </row>
    <row r="47" customFormat="false" ht="15" hidden="false" customHeight="false" outlineLevel="0" collapsed="false">
      <c r="A47" s="2" t="s">
        <v>133</v>
      </c>
      <c r="B47" s="3" t="n">
        <v>46316.8326388889</v>
      </c>
      <c r="C47" s="2" t="s">
        <v>52</v>
      </c>
      <c r="D47" s="2" t="s">
        <v>43</v>
      </c>
      <c r="E47" s="2" t="s">
        <v>10</v>
      </c>
      <c r="F47" s="4" t="str">
        <f aca="false">VLOOKUP(TRIM($E47),'co-so-du-lieu-virus'!$A$2:$D$9,2,FALSE())</f>
        <v>BankStealer.X</v>
      </c>
      <c r="G47" s="4" t="str">
        <f aca="false">VLOOKUP(TRIM($E47),'co-so-du-lieu-virus'!$A$2:$D$9,3,FALSE())</f>
        <v>Trojan</v>
      </c>
      <c r="H47" s="4" t="str">
        <f aca="false">VLOOKUP(TRIM($E47),'co-so-du-lieu-virus'!$A$2:$D$9,4,FALSE())</f>
        <v>Cao</v>
      </c>
    </row>
    <row r="48" customFormat="false" ht="15" hidden="false" customHeight="false" outlineLevel="0" collapsed="false">
      <c r="A48" s="2" t="s">
        <v>134</v>
      </c>
      <c r="B48" s="3" t="n">
        <v>46297.3555555556</v>
      </c>
      <c r="C48" s="2" t="s">
        <v>135</v>
      </c>
      <c r="D48" s="2" t="s">
        <v>34</v>
      </c>
      <c r="E48" s="2" t="s">
        <v>37</v>
      </c>
      <c r="F48" s="4" t="str">
        <f aca="false">VLOOKUP(TRIM($E48),'co-so-du-lieu-virus'!$A$2:$D$9,2,FALSE())</f>
        <v>BotHerd.M</v>
      </c>
      <c r="G48" s="4" t="str">
        <f aca="false">VLOOKUP(TRIM($E48),'co-so-du-lieu-virus'!$A$2:$D$9,3,FALSE())</f>
        <v>Botnet</v>
      </c>
      <c r="H48" s="4" t="str">
        <f aca="false">VLOOKUP(TRIM($E48),'co-so-du-lieu-virus'!$A$2:$D$9,4,FALSE())</f>
        <v>Cao</v>
      </c>
    </row>
    <row r="49" customFormat="false" ht="15" hidden="false" customHeight="false" outlineLevel="0" collapsed="false">
      <c r="A49" s="2" t="s">
        <v>136</v>
      </c>
      <c r="B49" s="3" t="n">
        <v>46301.1375</v>
      </c>
      <c r="C49" s="2" t="s">
        <v>54</v>
      </c>
      <c r="D49" s="2" t="s">
        <v>34</v>
      </c>
      <c r="E49" s="2" t="s">
        <v>137</v>
      </c>
      <c r="F49" s="4" t="str">
        <f aca="false">VLOOKUP(TRIM($E49),'co-so-du-lieu-virus'!$A$2:$D$9,2,FALSE())</f>
        <v>CryptoLock.A</v>
      </c>
      <c r="G49" s="4" t="str">
        <f aca="false">VLOOKUP(TRIM($E49),'co-so-du-lieu-virus'!$A$2:$D$9,3,FALSE())</f>
        <v>Ransomware</v>
      </c>
      <c r="H49" s="4" t="str">
        <f aca="false">VLOOKUP(TRIM($E49),'co-so-du-lieu-virus'!$A$2:$D$9,4,FALSE())</f>
        <v>Nghiêm trọng</v>
      </c>
    </row>
    <row r="50" customFormat="false" ht="15" hidden="false" customHeight="false" outlineLevel="0" collapsed="false">
      <c r="A50" s="2" t="s">
        <v>138</v>
      </c>
      <c r="B50" s="3" t="n">
        <v>46296.5145833333</v>
      </c>
      <c r="C50" s="2" t="s">
        <v>139</v>
      </c>
      <c r="D50" s="2" t="s">
        <v>71</v>
      </c>
      <c r="E50" s="2" t="s">
        <v>16</v>
      </c>
      <c r="F50" s="4" t="str">
        <f aca="false">VLOOKUP(TRIM($E50),'co-so-du-lieu-virus'!$A$2:$D$9,2,FALSE())</f>
        <v>NetCrawler</v>
      </c>
      <c r="G50" s="4" t="str">
        <f aca="false">VLOOKUP(TRIM($E50),'co-so-du-lieu-virus'!$A$2:$D$9,3,FALSE())</f>
        <v>Worm</v>
      </c>
      <c r="H50" s="4" t="str">
        <f aca="false">VLOOKUP(TRIM($E50),'co-so-du-lieu-virus'!$A$2:$D$9,4,FALSE())</f>
        <v>Cao</v>
      </c>
    </row>
    <row r="51" customFormat="false" ht="15" hidden="false" customHeight="false" outlineLevel="0" collapsed="false">
      <c r="A51" s="2" t="s">
        <v>140</v>
      </c>
      <c r="B51" s="3" t="n">
        <v>46319.5923611111</v>
      </c>
      <c r="C51" s="2" t="s">
        <v>141</v>
      </c>
      <c r="D51" s="2" t="s">
        <v>71</v>
      </c>
      <c r="E51" s="2" t="s">
        <v>8</v>
      </c>
      <c r="F51" s="4" t="str">
        <f aca="false">VLOOKUP(TRIM($E51),'co-so-du-lieu-virus'!$A$2:$D$9,2,FALSE())</f>
        <v>NightLocker</v>
      </c>
      <c r="G51" s="4" t="str">
        <f aca="false">VLOOKUP(TRIM($E51),'co-so-du-lieu-virus'!$A$2:$D$9,3,FALSE())</f>
        <v>Ransomware</v>
      </c>
      <c r="H51" s="4" t="str">
        <f aca="false">VLOOKUP(TRIM($E51),'co-so-du-lieu-virus'!$A$2:$D$9,4,FALSE())</f>
        <v>Nghiêm trọng</v>
      </c>
    </row>
    <row r="52" customFormat="false" ht="15" hidden="false" customHeight="false" outlineLevel="0" collapsed="false">
      <c r="A52" s="2" t="s">
        <v>142</v>
      </c>
      <c r="B52" s="3" t="n">
        <v>46306.9895833333</v>
      </c>
      <c r="C52" s="2" t="s">
        <v>143</v>
      </c>
      <c r="D52" s="2" t="s">
        <v>43</v>
      </c>
      <c r="E52" s="2" t="s">
        <v>16</v>
      </c>
      <c r="F52" s="4" t="str">
        <f aca="false">VLOOKUP(TRIM($E52),'co-so-du-lieu-virus'!$A$2:$D$9,2,FALSE())</f>
        <v>NetCrawler</v>
      </c>
      <c r="G52" s="4" t="str">
        <f aca="false">VLOOKUP(TRIM($E52),'co-so-du-lieu-virus'!$A$2:$D$9,3,FALSE())</f>
        <v>Worm</v>
      </c>
      <c r="H52" s="4" t="str">
        <f aca="false">VLOOKUP(TRIM($E52),'co-so-du-lieu-virus'!$A$2:$D$9,4,FALSE())</f>
        <v>Cao</v>
      </c>
    </row>
    <row r="53" customFormat="false" ht="15" hidden="false" customHeight="false" outlineLevel="0" collapsed="false">
      <c r="A53" s="2" t="s">
        <v>144</v>
      </c>
      <c r="B53" s="3" t="n">
        <v>46305.1152777778</v>
      </c>
      <c r="C53" s="2" t="s">
        <v>48</v>
      </c>
      <c r="D53" s="2" t="s">
        <v>49</v>
      </c>
      <c r="E53" s="2" t="s">
        <v>145</v>
      </c>
      <c r="F53" s="4" t="str">
        <f aca="false">VLOOKUP(TRIM($E53),'co-so-du-lieu-virus'!$A$2:$D$9,2,FALSE())</f>
        <v>NetCrawler</v>
      </c>
      <c r="G53" s="4" t="str">
        <f aca="false">VLOOKUP(TRIM($E53),'co-so-du-lieu-virus'!$A$2:$D$9,3,FALSE())</f>
        <v>Worm</v>
      </c>
      <c r="H53" s="4" t="str">
        <f aca="false">VLOOKUP(TRIM($E53),'co-so-du-lieu-virus'!$A$2:$D$9,4,FALSE())</f>
        <v>Cao</v>
      </c>
    </row>
    <row r="54" customFormat="false" ht="15" hidden="false" customHeight="false" outlineLevel="0" collapsed="false">
      <c r="A54" s="2" t="s">
        <v>146</v>
      </c>
      <c r="B54" s="3" t="n">
        <v>46310.4034722222</v>
      </c>
      <c r="C54" s="2" t="s">
        <v>147</v>
      </c>
      <c r="D54" s="2" t="s">
        <v>49</v>
      </c>
      <c r="E54" s="2" t="s">
        <v>10</v>
      </c>
      <c r="F54" s="4" t="str">
        <f aca="false">VLOOKUP(TRIM($E54),'co-so-du-lieu-virus'!$A$2:$D$9,2,FALSE())</f>
        <v>BankStealer.X</v>
      </c>
      <c r="G54" s="4" t="str">
        <f aca="false">VLOOKUP(TRIM($E54),'co-so-du-lieu-virus'!$A$2:$D$9,3,FALSE())</f>
        <v>Trojan</v>
      </c>
      <c r="H54" s="4" t="str">
        <f aca="false">VLOOKUP(TRIM($E54),'co-so-du-lieu-virus'!$A$2:$D$9,4,FALSE())</f>
        <v>Cao</v>
      </c>
    </row>
    <row r="55" customFormat="false" ht="15" hidden="false" customHeight="false" outlineLevel="0" collapsed="false">
      <c r="A55" s="2" t="s">
        <v>148</v>
      </c>
      <c r="B55" s="3" t="n">
        <v>46297.8458333333</v>
      </c>
      <c r="C55" s="2" t="s">
        <v>149</v>
      </c>
      <c r="D55" s="2" t="s">
        <v>46</v>
      </c>
      <c r="E55" s="2" t="s">
        <v>8</v>
      </c>
      <c r="F55" s="4" t="str">
        <f aca="false">VLOOKUP(TRIM($E55),'co-so-du-lieu-virus'!$A$2:$D$9,2,FALSE())</f>
        <v>NightLocker</v>
      </c>
      <c r="G55" s="4" t="str">
        <f aca="false">VLOOKUP(TRIM($E55),'co-so-du-lieu-virus'!$A$2:$D$9,3,FALSE())</f>
        <v>Ransomware</v>
      </c>
      <c r="H55" s="4" t="str">
        <f aca="false">VLOOKUP(TRIM($E55),'co-so-du-lieu-virus'!$A$2:$D$9,4,FALSE())</f>
        <v>Nghiêm trọng</v>
      </c>
    </row>
    <row r="56" customFormat="false" ht="15" hidden="false" customHeight="false" outlineLevel="0" collapsed="false">
      <c r="A56" s="2" t="s">
        <v>150</v>
      </c>
      <c r="B56" s="3" t="n">
        <v>46303.6972222222</v>
      </c>
      <c r="C56" s="2" t="s">
        <v>151</v>
      </c>
      <c r="D56" s="2" t="s">
        <v>43</v>
      </c>
      <c r="E56" s="2" t="s">
        <v>26</v>
      </c>
      <c r="F56" s="4" t="str">
        <f aca="false">VLOOKUP(TRIM($E56),'co-so-du-lieu-virus'!$A$2:$D$9,2,FALSE())</f>
        <v>KeyWatch</v>
      </c>
      <c r="G56" s="4" t="str">
        <f aca="false">VLOOKUP(TRIM($E56),'co-so-du-lieu-virus'!$A$2:$D$9,3,FALSE())</f>
        <v>Spyware</v>
      </c>
      <c r="H56" s="4" t="str">
        <f aca="false">VLOOKUP(TRIM($E56),'co-so-du-lieu-virus'!$A$2:$D$9,4,FALSE())</f>
        <v>Trung bình</v>
      </c>
    </row>
    <row r="57" customFormat="false" ht="15" hidden="false" customHeight="false" outlineLevel="0" collapsed="false">
      <c r="A57" s="2" t="s">
        <v>152</v>
      </c>
      <c r="B57" s="3" t="n">
        <v>46314.8402777778</v>
      </c>
      <c r="C57" s="2" t="s">
        <v>153</v>
      </c>
      <c r="D57" s="2" t="s">
        <v>64</v>
      </c>
      <c r="E57" s="2" t="s">
        <v>14</v>
      </c>
      <c r="F57" s="4" t="str">
        <f aca="false">VLOOKUP(TRIM($E57),'co-so-du-lieu-virus'!$A$2:$D$9,2,FALSE())</f>
        <v>RemoteShell.T</v>
      </c>
      <c r="G57" s="4" t="str">
        <f aca="false">VLOOKUP(TRIM($E57),'co-so-du-lieu-virus'!$A$2:$D$9,3,FALSE())</f>
        <v>Trojan</v>
      </c>
      <c r="H57" s="4" t="str">
        <f aca="false">VLOOKUP(TRIM($E57),'co-so-du-lieu-virus'!$A$2:$D$9,4,FALSE())</f>
        <v>Cao</v>
      </c>
    </row>
    <row r="58" customFormat="false" ht="15" hidden="false" customHeight="false" outlineLevel="0" collapsed="false">
      <c r="A58" s="2" t="s">
        <v>154</v>
      </c>
      <c r="B58" s="3" t="n">
        <v>46316.5923611111</v>
      </c>
      <c r="C58" s="2" t="s">
        <v>155</v>
      </c>
      <c r="D58" s="2" t="s">
        <v>46</v>
      </c>
      <c r="E58" s="2" t="s">
        <v>14</v>
      </c>
      <c r="F58" s="4" t="str">
        <f aca="false">VLOOKUP(TRIM($E58),'co-so-du-lieu-virus'!$A$2:$D$9,2,FALSE())</f>
        <v>RemoteShell.T</v>
      </c>
      <c r="G58" s="4" t="str">
        <f aca="false">VLOOKUP(TRIM($E58),'co-so-du-lieu-virus'!$A$2:$D$9,3,FALSE())</f>
        <v>Trojan</v>
      </c>
      <c r="H58" s="4" t="str">
        <f aca="false">VLOOKUP(TRIM($E58),'co-so-du-lieu-virus'!$A$2:$D$9,4,FALSE())</f>
        <v>Cao</v>
      </c>
    </row>
    <row r="59" customFormat="false" ht="15" hidden="false" customHeight="false" outlineLevel="0" collapsed="false">
      <c r="A59" s="2" t="s">
        <v>156</v>
      </c>
      <c r="B59" s="3" t="n">
        <v>46297.8875</v>
      </c>
      <c r="C59" s="2" t="s">
        <v>157</v>
      </c>
      <c r="D59" s="2" t="s">
        <v>64</v>
      </c>
      <c r="E59" s="2" t="s">
        <v>23</v>
      </c>
      <c r="F59" s="4" t="str">
        <f aca="false">VLOOKUP(TRIM($E59),'co-so-du-lieu-virus'!$A$2:$D$9,2,FALSE())</f>
        <v>BotHerd.M</v>
      </c>
      <c r="G59" s="4" t="str">
        <f aca="false">VLOOKUP(TRIM($E59),'co-so-du-lieu-virus'!$A$2:$D$9,3,FALSE())</f>
        <v>Botnet</v>
      </c>
      <c r="H59" s="4" t="str">
        <f aca="false">VLOOKUP(TRIM($E59),'co-so-du-lieu-virus'!$A$2:$D$9,4,FALSE())</f>
        <v>Cao</v>
      </c>
    </row>
    <row r="60" customFormat="false" ht="15" hidden="false" customHeight="false" outlineLevel="0" collapsed="false">
      <c r="A60" s="2" t="s">
        <v>158</v>
      </c>
      <c r="B60" s="3" t="n">
        <v>46321.6694444444</v>
      </c>
      <c r="C60" s="2" t="s">
        <v>159</v>
      </c>
      <c r="D60" s="2" t="s">
        <v>64</v>
      </c>
      <c r="E60" s="2" t="s">
        <v>10</v>
      </c>
      <c r="F60" s="4" t="str">
        <f aca="false">VLOOKUP(TRIM($E60),'co-so-du-lieu-virus'!$A$2:$D$9,2,FALSE())</f>
        <v>BankStealer.X</v>
      </c>
      <c r="G60" s="4" t="str">
        <f aca="false">VLOOKUP(TRIM($E60),'co-so-du-lieu-virus'!$A$2:$D$9,3,FALSE())</f>
        <v>Trojan</v>
      </c>
      <c r="H60" s="4" t="str">
        <f aca="false">VLOOKUP(TRIM($E60),'co-so-du-lieu-virus'!$A$2:$D$9,4,FALSE())</f>
        <v>Cao</v>
      </c>
    </row>
    <row r="61" customFormat="false" ht="15" hidden="false" customHeight="false" outlineLevel="0" collapsed="false">
      <c r="A61" s="2" t="s">
        <v>160</v>
      </c>
      <c r="B61" s="3" t="n">
        <v>46297.125</v>
      </c>
      <c r="C61" s="2" t="s">
        <v>161</v>
      </c>
      <c r="D61" s="2" t="s">
        <v>71</v>
      </c>
      <c r="E61" s="2" t="s">
        <v>8</v>
      </c>
      <c r="F61" s="4" t="str">
        <f aca="false">VLOOKUP(TRIM($E61),'co-so-du-lieu-virus'!$A$2:$D$9,2,FALSE())</f>
        <v>NightLocker</v>
      </c>
      <c r="G61" s="4" t="str">
        <f aca="false">VLOOKUP(TRIM($E61),'co-so-du-lieu-virus'!$A$2:$D$9,3,FALSE())</f>
        <v>Ransomware</v>
      </c>
      <c r="H61" s="4" t="str">
        <f aca="false">VLOOKUP(TRIM($E61),'co-so-du-lieu-virus'!$A$2:$D$9,4,FALSE())</f>
        <v>Nghiêm trọng</v>
      </c>
    </row>
    <row r="62" customFormat="false" ht="15" hidden="false" customHeight="false" outlineLevel="0" collapsed="false">
      <c r="A62" s="2" t="s">
        <v>162</v>
      </c>
      <c r="B62" s="3" t="n">
        <v>46301.2472222222</v>
      </c>
      <c r="C62" s="2" t="s">
        <v>163</v>
      </c>
      <c r="D62" s="2" t="s">
        <v>46</v>
      </c>
      <c r="E62" s="2" t="s">
        <v>89</v>
      </c>
      <c r="F62" s="4" t="str">
        <f aca="false">VLOOKUP(TRIM($E62),'co-so-du-lieu-virus'!$A$2:$D$9,2,FALSE())</f>
        <v>BankStealer.X</v>
      </c>
      <c r="G62" s="4" t="str">
        <f aca="false">VLOOKUP(TRIM($E62),'co-so-du-lieu-virus'!$A$2:$D$9,3,FALSE())</f>
        <v>Trojan</v>
      </c>
      <c r="H62" s="4" t="str">
        <f aca="false">VLOOKUP(TRIM($E62),'co-so-du-lieu-virus'!$A$2:$D$9,4,FALSE())</f>
        <v>Cao</v>
      </c>
    </row>
    <row r="63" customFormat="false" ht="15" hidden="false" customHeight="false" outlineLevel="0" collapsed="false">
      <c r="A63" s="2" t="s">
        <v>164</v>
      </c>
      <c r="B63" s="3" t="n">
        <v>46312.7791666667</v>
      </c>
      <c r="C63" s="2" t="s">
        <v>91</v>
      </c>
      <c r="D63" s="2" t="s">
        <v>46</v>
      </c>
      <c r="E63" s="2" t="s">
        <v>16</v>
      </c>
      <c r="F63" s="4" t="str">
        <f aca="false">VLOOKUP(TRIM($E63),'co-so-du-lieu-virus'!$A$2:$D$9,2,FALSE())</f>
        <v>NetCrawler</v>
      </c>
      <c r="G63" s="4" t="str">
        <f aca="false">VLOOKUP(TRIM($E63),'co-so-du-lieu-virus'!$A$2:$D$9,3,FALSE())</f>
        <v>Worm</v>
      </c>
      <c r="H63" s="4" t="str">
        <f aca="false">VLOOKUP(TRIM($E63),'co-so-du-lieu-virus'!$A$2:$D$9,4,FALSE())</f>
        <v>Cao</v>
      </c>
    </row>
    <row r="64" customFormat="false" ht="15" hidden="false" customHeight="false" outlineLevel="0" collapsed="false">
      <c r="A64" s="2" t="s">
        <v>165</v>
      </c>
      <c r="B64" s="3" t="n">
        <v>46307.6520833333</v>
      </c>
      <c r="C64" s="2" t="s">
        <v>75</v>
      </c>
      <c r="D64" s="2" t="s">
        <v>64</v>
      </c>
      <c r="E64" s="2" t="s">
        <v>76</v>
      </c>
      <c r="F64" s="4" t="str">
        <f aca="false">VLOOKUP(TRIM($E64),'co-so-du-lieu-virus'!$A$2:$D$9,2,FALSE())</f>
        <v>SilentSpy</v>
      </c>
      <c r="G64" s="4" t="str">
        <f aca="false">VLOOKUP(TRIM($E64),'co-so-du-lieu-virus'!$A$2:$D$9,3,FALSE())</f>
        <v>Spyware</v>
      </c>
      <c r="H64" s="4" t="str">
        <f aca="false">VLOOKUP(TRIM($E64),'co-so-du-lieu-virus'!$A$2:$D$9,4,FALSE())</f>
        <v>Trung bình</v>
      </c>
    </row>
    <row r="65" customFormat="false" ht="15" hidden="false" customHeight="false" outlineLevel="0" collapsed="false">
      <c r="A65" s="2" t="s">
        <v>166</v>
      </c>
      <c r="B65" s="3" t="n">
        <v>46297.6458333333</v>
      </c>
      <c r="C65" s="2" t="s">
        <v>75</v>
      </c>
      <c r="D65" s="2" t="s">
        <v>49</v>
      </c>
      <c r="E65" s="2" t="s">
        <v>4</v>
      </c>
      <c r="F65" s="4" t="str">
        <f aca="false">VLOOKUP(TRIM($E65),'co-so-du-lieu-virus'!$A$2:$D$9,2,FALSE())</f>
        <v>CryptoLock.A</v>
      </c>
      <c r="G65" s="4" t="str">
        <f aca="false">VLOOKUP(TRIM($E65),'co-so-du-lieu-virus'!$A$2:$D$9,3,FALSE())</f>
        <v>Ransomware</v>
      </c>
      <c r="H65" s="4" t="str">
        <f aca="false">VLOOKUP(TRIM($E65),'co-so-du-lieu-virus'!$A$2:$D$9,4,FALSE())</f>
        <v>Nghiêm trọng</v>
      </c>
    </row>
    <row r="66" customFormat="false" ht="15" hidden="false" customHeight="false" outlineLevel="0" collapsed="false">
      <c r="A66" s="2" t="s">
        <v>167</v>
      </c>
      <c r="B66" s="3" t="n">
        <v>46319.6847222222</v>
      </c>
      <c r="C66" s="2" t="s">
        <v>168</v>
      </c>
      <c r="D66" s="2" t="s">
        <v>34</v>
      </c>
      <c r="E66" s="2" t="s">
        <v>10</v>
      </c>
      <c r="F66" s="4" t="str">
        <f aca="false">VLOOKUP(TRIM($E66),'co-so-du-lieu-virus'!$A$2:$D$9,2,FALSE())</f>
        <v>BankStealer.X</v>
      </c>
      <c r="G66" s="4" t="str">
        <f aca="false">VLOOKUP(TRIM($E66),'co-so-du-lieu-virus'!$A$2:$D$9,3,FALSE())</f>
        <v>Trojan</v>
      </c>
      <c r="H66" s="4" t="str">
        <f aca="false">VLOOKUP(TRIM($E66),'co-so-du-lieu-virus'!$A$2:$D$9,4,FALSE())</f>
        <v>Cao</v>
      </c>
    </row>
    <row r="67" customFormat="false" ht="15" hidden="false" customHeight="false" outlineLevel="0" collapsed="false">
      <c r="A67" s="2" t="s">
        <v>169</v>
      </c>
      <c r="B67" s="3" t="n">
        <v>46306.1909722222</v>
      </c>
      <c r="C67" s="2" t="s">
        <v>70</v>
      </c>
      <c r="D67" s="2" t="s">
        <v>43</v>
      </c>
      <c r="E67" s="2" t="s">
        <v>120</v>
      </c>
      <c r="F67" s="4" t="str">
        <f aca="false">VLOOKUP(TRIM($E67),'co-so-du-lieu-virus'!$A$2:$D$9,2,FALSE())</f>
        <v>KeyWatch</v>
      </c>
      <c r="G67" s="4" t="str">
        <f aca="false">VLOOKUP(TRIM($E67),'co-so-du-lieu-virus'!$A$2:$D$9,3,FALSE())</f>
        <v>Spyware</v>
      </c>
      <c r="H67" s="4" t="str">
        <f aca="false">VLOOKUP(TRIM($E67),'co-so-du-lieu-virus'!$A$2:$D$9,4,FALSE())</f>
        <v>Trung bình</v>
      </c>
    </row>
    <row r="68" customFormat="false" ht="15" hidden="false" customHeight="false" outlineLevel="0" collapsed="false">
      <c r="A68" s="2" t="s">
        <v>170</v>
      </c>
      <c r="B68" s="3" t="n">
        <v>46301.9118055556</v>
      </c>
      <c r="C68" s="2" t="s">
        <v>33</v>
      </c>
      <c r="D68" s="2" t="s">
        <v>43</v>
      </c>
      <c r="E68" s="2" t="s">
        <v>26</v>
      </c>
      <c r="F68" s="4" t="str">
        <f aca="false">VLOOKUP(TRIM($E68),'co-so-du-lieu-virus'!$A$2:$D$9,2,FALSE())</f>
        <v>KeyWatch</v>
      </c>
      <c r="G68" s="4" t="str">
        <f aca="false">VLOOKUP(TRIM($E68),'co-so-du-lieu-virus'!$A$2:$D$9,3,FALSE())</f>
        <v>Spyware</v>
      </c>
      <c r="H68" s="4" t="str">
        <f aca="false">VLOOKUP(TRIM($E68),'co-so-du-lieu-virus'!$A$2:$D$9,4,FALSE())</f>
        <v>Trung bình</v>
      </c>
    </row>
    <row r="69" customFormat="false" ht="15" hidden="false" customHeight="false" outlineLevel="0" collapsed="false">
      <c r="A69" s="2" t="s">
        <v>171</v>
      </c>
      <c r="B69" s="3" t="n">
        <v>46296.3055555556</v>
      </c>
      <c r="C69" s="2" t="s">
        <v>172</v>
      </c>
      <c r="D69" s="2" t="s">
        <v>34</v>
      </c>
      <c r="E69" s="2" t="s">
        <v>10</v>
      </c>
      <c r="F69" s="4" t="str">
        <f aca="false">VLOOKUP(TRIM($E69),'co-so-du-lieu-virus'!$A$2:$D$9,2,FALSE())</f>
        <v>BankStealer.X</v>
      </c>
      <c r="G69" s="4" t="str">
        <f aca="false">VLOOKUP(TRIM($E69),'co-so-du-lieu-virus'!$A$2:$D$9,3,FALSE())</f>
        <v>Trojan</v>
      </c>
      <c r="H69" s="4" t="str">
        <f aca="false">VLOOKUP(TRIM($E69),'co-so-du-lieu-virus'!$A$2:$D$9,4,FALSE())</f>
        <v>Cao</v>
      </c>
    </row>
    <row r="70" customFormat="false" ht="15" hidden="false" customHeight="false" outlineLevel="0" collapsed="false">
      <c r="A70" s="2" t="s">
        <v>173</v>
      </c>
      <c r="B70" s="3" t="n">
        <v>46311.6145833333</v>
      </c>
      <c r="C70" s="2" t="s">
        <v>174</v>
      </c>
      <c r="D70" s="2" t="s">
        <v>71</v>
      </c>
      <c r="E70" s="2" t="s">
        <v>16</v>
      </c>
      <c r="F70" s="4" t="str">
        <f aca="false">VLOOKUP(TRIM($E70),'co-so-du-lieu-virus'!$A$2:$D$9,2,FALSE())</f>
        <v>NetCrawler</v>
      </c>
      <c r="G70" s="4" t="str">
        <f aca="false">VLOOKUP(TRIM($E70),'co-so-du-lieu-virus'!$A$2:$D$9,3,FALSE())</f>
        <v>Worm</v>
      </c>
      <c r="H70" s="4" t="str">
        <f aca="false">VLOOKUP(TRIM($E70),'co-so-du-lieu-virus'!$A$2:$D$9,4,FALSE())</f>
        <v>Cao</v>
      </c>
    </row>
    <row r="71" customFormat="false" ht="15" hidden="false" customHeight="false" outlineLevel="0" collapsed="false">
      <c r="A71" s="2" t="s">
        <v>175</v>
      </c>
      <c r="B71" s="3" t="n">
        <v>46301.6194444444</v>
      </c>
      <c r="C71" s="2" t="s">
        <v>176</v>
      </c>
      <c r="D71" s="2" t="s">
        <v>49</v>
      </c>
      <c r="E71" s="2" t="s">
        <v>16</v>
      </c>
      <c r="F71" s="4" t="str">
        <f aca="false">VLOOKUP(TRIM($E71),'co-so-du-lieu-virus'!$A$2:$D$9,2,FALSE())</f>
        <v>NetCrawler</v>
      </c>
      <c r="G71" s="4" t="str">
        <f aca="false">VLOOKUP(TRIM($E71),'co-so-du-lieu-virus'!$A$2:$D$9,3,FALSE())</f>
        <v>Worm</v>
      </c>
      <c r="H71" s="4" t="str">
        <f aca="false">VLOOKUP(TRIM($E71),'co-so-du-lieu-virus'!$A$2:$D$9,4,FALSE())</f>
        <v>Cao</v>
      </c>
    </row>
    <row r="72" customFormat="false" ht="15" hidden="false" customHeight="false" outlineLevel="0" collapsed="false">
      <c r="A72" s="2" t="s">
        <v>177</v>
      </c>
      <c r="B72" s="3" t="n">
        <v>46310.1013888889</v>
      </c>
      <c r="C72" s="2" t="s">
        <v>178</v>
      </c>
      <c r="D72" s="2" t="s">
        <v>71</v>
      </c>
      <c r="E72" s="2" t="s">
        <v>23</v>
      </c>
      <c r="F72" s="4" t="str">
        <f aca="false">VLOOKUP(TRIM($E72),'co-so-du-lieu-virus'!$A$2:$D$9,2,FALSE())</f>
        <v>BotHerd.M</v>
      </c>
      <c r="G72" s="4" t="str">
        <f aca="false">VLOOKUP(TRIM($E72),'co-so-du-lieu-virus'!$A$2:$D$9,3,FALSE())</f>
        <v>Botnet</v>
      </c>
      <c r="H72" s="4" t="str">
        <f aca="false">VLOOKUP(TRIM($E72),'co-so-du-lieu-virus'!$A$2:$D$9,4,FALSE())</f>
        <v>Cao</v>
      </c>
    </row>
    <row r="73" customFormat="false" ht="15" hidden="false" customHeight="false" outlineLevel="0" collapsed="false">
      <c r="A73" s="2" t="s">
        <v>179</v>
      </c>
      <c r="B73" s="3" t="n">
        <v>46296.7118055556</v>
      </c>
      <c r="C73" s="2" t="s">
        <v>180</v>
      </c>
      <c r="D73" s="2" t="s">
        <v>34</v>
      </c>
      <c r="E73" s="2" t="s">
        <v>10</v>
      </c>
      <c r="F73" s="4" t="str">
        <f aca="false">VLOOKUP(TRIM($E73),'co-so-du-lieu-virus'!$A$2:$D$9,2,FALSE())</f>
        <v>BankStealer.X</v>
      </c>
      <c r="G73" s="4" t="str">
        <f aca="false">VLOOKUP(TRIM($E73),'co-so-du-lieu-virus'!$A$2:$D$9,3,FALSE())</f>
        <v>Trojan</v>
      </c>
      <c r="H73" s="4" t="str">
        <f aca="false">VLOOKUP(TRIM($E73),'co-so-du-lieu-virus'!$A$2:$D$9,4,FALSE())</f>
        <v>Cao</v>
      </c>
    </row>
    <row r="74" customFormat="false" ht="15" hidden="false" customHeight="false" outlineLevel="0" collapsed="false">
      <c r="A74" s="2" t="s">
        <v>181</v>
      </c>
      <c r="B74" s="3" t="n">
        <v>46321.0444444444</v>
      </c>
      <c r="C74" s="2" t="s">
        <v>80</v>
      </c>
      <c r="D74" s="2" t="s">
        <v>71</v>
      </c>
      <c r="E74" s="2" t="s">
        <v>4</v>
      </c>
      <c r="F74" s="4" t="str">
        <f aca="false">VLOOKUP(TRIM($E74),'co-so-du-lieu-virus'!$A$2:$D$9,2,FALSE())</f>
        <v>CryptoLock.A</v>
      </c>
      <c r="G74" s="4" t="str">
        <f aca="false">VLOOKUP(TRIM($E74),'co-so-du-lieu-virus'!$A$2:$D$9,3,FALSE())</f>
        <v>Ransomware</v>
      </c>
      <c r="H74" s="4" t="str">
        <f aca="false">VLOOKUP(TRIM($E74),'co-so-du-lieu-virus'!$A$2:$D$9,4,FALSE())</f>
        <v>Nghiêm trọng</v>
      </c>
    </row>
    <row r="75" customFormat="false" ht="15" hidden="false" customHeight="false" outlineLevel="0" collapsed="false">
      <c r="A75" s="2" t="s">
        <v>182</v>
      </c>
      <c r="B75" s="3" t="n">
        <v>46315.5208333333</v>
      </c>
      <c r="C75" s="2" t="s">
        <v>183</v>
      </c>
      <c r="D75" s="2" t="s">
        <v>46</v>
      </c>
      <c r="E75" s="2" t="s">
        <v>184</v>
      </c>
      <c r="F75" s="4" t="str">
        <f aca="false">VLOOKUP(TRIM($E75),'co-so-du-lieu-virus'!$A$2:$D$9,2,FALSE())</f>
        <v>RemoteShell.T</v>
      </c>
      <c r="G75" s="4" t="str">
        <f aca="false">VLOOKUP(TRIM($E75),'co-so-du-lieu-virus'!$A$2:$D$9,3,FALSE())</f>
        <v>Trojan</v>
      </c>
      <c r="H75" s="4" t="str">
        <f aca="false">VLOOKUP(TRIM($E75),'co-so-du-lieu-virus'!$A$2:$D$9,4,FALSE())</f>
        <v>Cao</v>
      </c>
    </row>
    <row r="76" customFormat="false" ht="15" hidden="false" customHeight="false" outlineLevel="0" collapsed="false">
      <c r="A76" s="2" t="s">
        <v>185</v>
      </c>
      <c r="B76" s="3" t="n">
        <v>46302.39375</v>
      </c>
      <c r="C76" s="2" t="s">
        <v>66</v>
      </c>
      <c r="D76" s="2" t="s">
        <v>49</v>
      </c>
      <c r="E76" s="2" t="s">
        <v>8</v>
      </c>
      <c r="F76" s="4" t="str">
        <f aca="false">VLOOKUP(TRIM($E76),'co-so-du-lieu-virus'!$A$2:$D$9,2,FALSE())</f>
        <v>NightLocker</v>
      </c>
      <c r="G76" s="4" t="str">
        <f aca="false">VLOOKUP(TRIM($E76),'co-so-du-lieu-virus'!$A$2:$D$9,3,FALSE())</f>
        <v>Ransomware</v>
      </c>
      <c r="H76" s="4" t="str">
        <f aca="false">VLOOKUP(TRIM($E76),'co-so-du-lieu-virus'!$A$2:$D$9,4,FALSE())</f>
        <v>Nghiêm trọng</v>
      </c>
    </row>
    <row r="77" customFormat="false" ht="15" hidden="false" customHeight="false" outlineLevel="0" collapsed="false">
      <c r="A77" s="2" t="s">
        <v>186</v>
      </c>
      <c r="B77" s="3" t="n">
        <v>46319.5840277778</v>
      </c>
      <c r="C77" s="2" t="s">
        <v>187</v>
      </c>
      <c r="D77" s="2" t="s">
        <v>64</v>
      </c>
      <c r="E77" s="2" t="s">
        <v>26</v>
      </c>
      <c r="F77" s="4" t="str">
        <f aca="false">VLOOKUP(TRIM($E77),'co-so-du-lieu-virus'!$A$2:$D$9,2,FALSE())</f>
        <v>KeyWatch</v>
      </c>
      <c r="G77" s="4" t="str">
        <f aca="false">VLOOKUP(TRIM($E77),'co-so-du-lieu-virus'!$A$2:$D$9,3,FALSE())</f>
        <v>Spyware</v>
      </c>
      <c r="H77" s="4" t="str">
        <f aca="false">VLOOKUP(TRIM($E77),'co-so-du-lieu-virus'!$A$2:$D$9,4,FALSE())</f>
        <v>Trung bình</v>
      </c>
    </row>
    <row r="78" customFormat="false" ht="15" hidden="false" customHeight="false" outlineLevel="0" collapsed="false">
      <c r="A78" s="2" t="s">
        <v>188</v>
      </c>
      <c r="B78" s="3" t="n">
        <v>46318.4173611111</v>
      </c>
      <c r="C78" s="2" t="s">
        <v>189</v>
      </c>
      <c r="D78" s="2" t="s">
        <v>64</v>
      </c>
      <c r="E78" s="2" t="s">
        <v>19</v>
      </c>
      <c r="F78" s="4" t="str">
        <f aca="false">VLOOKUP(TRIM($E78),'co-so-du-lieu-virus'!$A$2:$D$9,2,FALSE())</f>
        <v>SilentSpy</v>
      </c>
      <c r="G78" s="4" t="str">
        <f aca="false">VLOOKUP(TRIM($E78),'co-so-du-lieu-virus'!$A$2:$D$9,3,FALSE())</f>
        <v>Spyware</v>
      </c>
      <c r="H78" s="4" t="str">
        <f aca="false">VLOOKUP(TRIM($E78),'co-so-du-lieu-virus'!$A$2:$D$9,4,FALSE())</f>
        <v>Trung bình</v>
      </c>
    </row>
    <row r="79" customFormat="false" ht="15" hidden="false" customHeight="false" outlineLevel="0" collapsed="false">
      <c r="A79" s="2" t="s">
        <v>190</v>
      </c>
      <c r="B79" s="3" t="n">
        <v>46319.96875</v>
      </c>
      <c r="C79" s="2" t="s">
        <v>191</v>
      </c>
      <c r="D79" s="2" t="s">
        <v>71</v>
      </c>
      <c r="E79" s="2" t="s">
        <v>4</v>
      </c>
      <c r="F79" s="4" t="str">
        <f aca="false">VLOOKUP(TRIM($E79),'co-so-du-lieu-virus'!$A$2:$D$9,2,FALSE())</f>
        <v>CryptoLock.A</v>
      </c>
      <c r="G79" s="4" t="str">
        <f aca="false">VLOOKUP(TRIM($E79),'co-so-du-lieu-virus'!$A$2:$D$9,3,FALSE())</f>
        <v>Ransomware</v>
      </c>
      <c r="H79" s="4" t="str">
        <f aca="false">VLOOKUP(TRIM($E79),'co-so-du-lieu-virus'!$A$2:$D$9,4,FALSE())</f>
        <v>Nghiêm trọng</v>
      </c>
    </row>
    <row r="80" customFormat="false" ht="15" hidden="false" customHeight="false" outlineLevel="0" collapsed="false">
      <c r="A80" s="2" t="s">
        <v>192</v>
      </c>
      <c r="B80" s="3" t="n">
        <v>46303.4791666667</v>
      </c>
      <c r="C80" s="2" t="s">
        <v>193</v>
      </c>
      <c r="D80" s="2" t="s">
        <v>34</v>
      </c>
      <c r="E80" s="2" t="s">
        <v>23</v>
      </c>
      <c r="F80" s="4" t="str">
        <f aca="false">VLOOKUP(TRIM($E80),'co-so-du-lieu-virus'!$A$2:$D$9,2,FALSE())</f>
        <v>BotHerd.M</v>
      </c>
      <c r="G80" s="4" t="str">
        <f aca="false">VLOOKUP(TRIM($E80),'co-so-du-lieu-virus'!$A$2:$D$9,3,FALSE())</f>
        <v>Botnet</v>
      </c>
      <c r="H80" s="4" t="str">
        <f aca="false">VLOOKUP(TRIM($E80),'co-so-du-lieu-virus'!$A$2:$D$9,4,FALSE())</f>
        <v>Cao</v>
      </c>
    </row>
    <row r="81" customFormat="false" ht="15" hidden="false" customHeight="false" outlineLevel="0" collapsed="false">
      <c r="A81" s="2" t="s">
        <v>194</v>
      </c>
      <c r="B81" s="3" t="n">
        <v>46310.1854166667</v>
      </c>
      <c r="C81" s="2" t="s">
        <v>195</v>
      </c>
      <c r="D81" s="2" t="s">
        <v>43</v>
      </c>
      <c r="E81" s="2" t="s">
        <v>23</v>
      </c>
      <c r="F81" s="4" t="str">
        <f aca="false">VLOOKUP(TRIM($E81),'co-so-du-lieu-virus'!$A$2:$D$9,2,FALSE())</f>
        <v>BotHerd.M</v>
      </c>
      <c r="G81" s="4" t="str">
        <f aca="false">VLOOKUP(TRIM($E81),'co-so-du-lieu-virus'!$A$2:$D$9,3,FALSE())</f>
        <v>Botnet</v>
      </c>
      <c r="H81" s="4" t="str">
        <f aca="false">VLOOKUP(TRIM($E81),'co-so-du-lieu-virus'!$A$2:$D$9,4,FALSE())</f>
        <v>Cao</v>
      </c>
    </row>
    <row r="82" customFormat="false" ht="15" hidden="false" customHeight="false" outlineLevel="0" collapsed="false">
      <c r="A82" s="2" t="s">
        <v>196</v>
      </c>
      <c r="B82" s="3" t="n">
        <v>46305.4770833333</v>
      </c>
      <c r="C82" s="2" t="s">
        <v>197</v>
      </c>
      <c r="D82" s="2" t="s">
        <v>49</v>
      </c>
      <c r="E82" s="2" t="s">
        <v>26</v>
      </c>
      <c r="F82" s="4" t="str">
        <f aca="false">VLOOKUP(TRIM($E82),'co-so-du-lieu-virus'!$A$2:$D$9,2,FALSE())</f>
        <v>KeyWatch</v>
      </c>
      <c r="G82" s="4" t="str">
        <f aca="false">VLOOKUP(TRIM($E82),'co-so-du-lieu-virus'!$A$2:$D$9,3,FALSE())</f>
        <v>Spyware</v>
      </c>
      <c r="H82" s="4" t="str">
        <f aca="false">VLOOKUP(TRIM($E82),'co-so-du-lieu-virus'!$A$2:$D$9,4,FALSE())</f>
        <v>Trung bình</v>
      </c>
    </row>
    <row r="83" customFormat="false" ht="15" hidden="false" customHeight="false" outlineLevel="0" collapsed="false">
      <c r="A83" s="2" t="s">
        <v>198</v>
      </c>
      <c r="B83" s="3" t="n">
        <v>46318.6479166667</v>
      </c>
      <c r="C83" s="2" t="s">
        <v>199</v>
      </c>
      <c r="D83" s="2" t="s">
        <v>43</v>
      </c>
      <c r="E83" s="2" t="s">
        <v>26</v>
      </c>
      <c r="F83" s="4" t="str">
        <f aca="false">VLOOKUP(TRIM($E83),'co-so-du-lieu-virus'!$A$2:$D$9,2,FALSE())</f>
        <v>KeyWatch</v>
      </c>
      <c r="G83" s="4" t="str">
        <f aca="false">VLOOKUP(TRIM($E83),'co-so-du-lieu-virus'!$A$2:$D$9,3,FALSE())</f>
        <v>Spyware</v>
      </c>
      <c r="H83" s="4" t="str">
        <f aca="false">VLOOKUP(TRIM($E83),'co-so-du-lieu-virus'!$A$2:$D$9,4,FALSE())</f>
        <v>Trung bình</v>
      </c>
    </row>
    <row r="84" customFormat="false" ht="15" hidden="false" customHeight="false" outlineLevel="0" collapsed="false">
      <c r="A84" s="2" t="s">
        <v>200</v>
      </c>
      <c r="B84" s="3" t="n">
        <v>46313.1590277778</v>
      </c>
      <c r="C84" s="2" t="s">
        <v>201</v>
      </c>
      <c r="D84" s="2" t="s">
        <v>34</v>
      </c>
      <c r="E84" s="2" t="s">
        <v>14</v>
      </c>
      <c r="F84" s="4" t="str">
        <f aca="false">VLOOKUP(TRIM($E84),'co-so-du-lieu-virus'!$A$2:$D$9,2,FALSE())</f>
        <v>RemoteShell.T</v>
      </c>
      <c r="G84" s="4" t="str">
        <f aca="false">VLOOKUP(TRIM($E84),'co-so-du-lieu-virus'!$A$2:$D$9,3,FALSE())</f>
        <v>Trojan</v>
      </c>
      <c r="H84" s="4" t="str">
        <f aca="false">VLOOKUP(TRIM($E84),'co-so-du-lieu-virus'!$A$2:$D$9,4,FALSE())</f>
        <v>Cao</v>
      </c>
    </row>
    <row r="85" customFormat="false" ht="15" hidden="false" customHeight="false" outlineLevel="0" collapsed="false">
      <c r="A85" s="2" t="s">
        <v>202</v>
      </c>
      <c r="B85" s="3" t="n">
        <v>46314.2305555556</v>
      </c>
      <c r="C85" s="2" t="s">
        <v>203</v>
      </c>
      <c r="D85" s="2" t="s">
        <v>34</v>
      </c>
      <c r="E85" s="2" t="s">
        <v>26</v>
      </c>
      <c r="F85" s="4" t="str">
        <f aca="false">VLOOKUP(TRIM($E85),'co-so-du-lieu-virus'!$A$2:$D$9,2,FALSE())</f>
        <v>KeyWatch</v>
      </c>
      <c r="G85" s="4" t="str">
        <f aca="false">VLOOKUP(TRIM($E85),'co-so-du-lieu-virus'!$A$2:$D$9,3,FALSE())</f>
        <v>Spyware</v>
      </c>
      <c r="H85" s="4" t="str">
        <f aca="false">VLOOKUP(TRIM($E85),'co-so-du-lieu-virus'!$A$2:$D$9,4,FALSE())</f>
        <v>Trung bình</v>
      </c>
    </row>
    <row r="86" customFormat="false" ht="15" hidden="false" customHeight="false" outlineLevel="0" collapsed="false">
      <c r="A86" s="2" t="s">
        <v>204</v>
      </c>
      <c r="B86" s="3" t="n">
        <v>46298.9986111111</v>
      </c>
      <c r="C86" s="2" t="s">
        <v>205</v>
      </c>
      <c r="D86" s="2" t="s">
        <v>34</v>
      </c>
      <c r="E86" s="2" t="s">
        <v>206</v>
      </c>
      <c r="F86" s="4" t="str">
        <f aca="false">VLOOKUP(TRIM($E86),'co-so-du-lieu-virus'!$A$2:$D$9,2,FALSE())</f>
        <v>NightLocker</v>
      </c>
      <c r="G86" s="4" t="str">
        <f aca="false">VLOOKUP(TRIM($E86),'co-so-du-lieu-virus'!$A$2:$D$9,3,FALSE())</f>
        <v>Ransomware</v>
      </c>
      <c r="H86" s="4" t="str">
        <f aca="false">VLOOKUP(TRIM($E86),'co-so-du-lieu-virus'!$A$2:$D$9,4,FALSE())</f>
        <v>Nghiêm trọng</v>
      </c>
    </row>
    <row r="87" customFormat="false" ht="15" hidden="false" customHeight="false" outlineLevel="0" collapsed="false">
      <c r="A87" s="2" t="s">
        <v>207</v>
      </c>
      <c r="B87" s="3" t="n">
        <v>46314.3930555556</v>
      </c>
      <c r="C87" s="2" t="s">
        <v>208</v>
      </c>
      <c r="D87" s="2" t="s">
        <v>49</v>
      </c>
      <c r="E87" s="2" t="s">
        <v>14</v>
      </c>
      <c r="F87" s="4" t="str">
        <f aca="false">VLOOKUP(TRIM($E87),'co-so-du-lieu-virus'!$A$2:$D$9,2,FALSE())</f>
        <v>RemoteShell.T</v>
      </c>
      <c r="G87" s="4" t="str">
        <f aca="false">VLOOKUP(TRIM($E87),'co-so-du-lieu-virus'!$A$2:$D$9,3,FALSE())</f>
        <v>Trojan</v>
      </c>
      <c r="H87" s="4" t="str">
        <f aca="false">VLOOKUP(TRIM($E87),'co-so-du-lieu-virus'!$A$2:$D$9,4,FALSE())</f>
        <v>Cao</v>
      </c>
    </row>
    <row r="88" customFormat="false" ht="15" hidden="false" customHeight="false" outlineLevel="0" collapsed="false">
      <c r="A88" s="2" t="s">
        <v>209</v>
      </c>
      <c r="B88" s="3" t="n">
        <v>46317.6875</v>
      </c>
      <c r="C88" s="2" t="s">
        <v>210</v>
      </c>
      <c r="D88" s="2" t="s">
        <v>71</v>
      </c>
      <c r="E88" s="2" t="s">
        <v>211</v>
      </c>
      <c r="F88" s="4" t="str">
        <f aca="false">VLOOKUP(TRIM($E88),'co-so-du-lieu-virus'!$A$2:$D$9,2,FALSE())</f>
        <v>RemoteShell.T</v>
      </c>
      <c r="G88" s="4" t="str">
        <f aca="false">VLOOKUP(TRIM($E88),'co-so-du-lieu-virus'!$A$2:$D$9,3,FALSE())</f>
        <v>Trojan</v>
      </c>
      <c r="H88" s="4" t="str">
        <f aca="false">VLOOKUP(TRIM($E88),'co-so-du-lieu-virus'!$A$2:$D$9,4,FALSE())</f>
        <v>Cao</v>
      </c>
    </row>
    <row r="89" customFormat="false" ht="15" hidden="false" customHeight="false" outlineLevel="0" collapsed="false">
      <c r="A89" s="2" t="s">
        <v>212</v>
      </c>
      <c r="B89" s="3" t="n">
        <v>46297.3381944444</v>
      </c>
      <c r="C89" s="2" t="s">
        <v>213</v>
      </c>
      <c r="D89" s="2" t="s">
        <v>71</v>
      </c>
      <c r="E89" s="2" t="s">
        <v>8</v>
      </c>
      <c r="F89" s="4" t="str">
        <f aca="false">VLOOKUP(TRIM($E89),'co-so-du-lieu-virus'!$A$2:$D$9,2,FALSE())</f>
        <v>NightLocker</v>
      </c>
      <c r="G89" s="4" t="str">
        <f aca="false">VLOOKUP(TRIM($E89),'co-so-du-lieu-virus'!$A$2:$D$9,3,FALSE())</f>
        <v>Ransomware</v>
      </c>
      <c r="H89" s="4" t="str">
        <f aca="false">VLOOKUP(TRIM($E89),'co-so-du-lieu-virus'!$A$2:$D$9,4,FALSE())</f>
        <v>Nghiêm trọng</v>
      </c>
    </row>
    <row r="90" customFormat="false" ht="15" hidden="false" customHeight="false" outlineLevel="0" collapsed="false">
      <c r="A90" s="2" t="s">
        <v>214</v>
      </c>
      <c r="B90" s="3" t="n">
        <v>46297.0368055556</v>
      </c>
      <c r="C90" s="2" t="s">
        <v>215</v>
      </c>
      <c r="D90" s="2" t="s">
        <v>49</v>
      </c>
      <c r="E90" s="2" t="s">
        <v>8</v>
      </c>
      <c r="F90" s="4" t="str">
        <f aca="false">VLOOKUP(TRIM($E90),'co-so-du-lieu-virus'!$A$2:$D$9,2,FALSE())</f>
        <v>NightLocker</v>
      </c>
      <c r="G90" s="4" t="str">
        <f aca="false">VLOOKUP(TRIM($E90),'co-so-du-lieu-virus'!$A$2:$D$9,3,FALSE())</f>
        <v>Ransomware</v>
      </c>
      <c r="H90" s="4" t="str">
        <f aca="false">VLOOKUP(TRIM($E90),'co-so-du-lieu-virus'!$A$2:$D$9,4,FALSE())</f>
        <v>Nghiêm trọng</v>
      </c>
    </row>
    <row r="91" customFormat="false" ht="15" hidden="false" customHeight="false" outlineLevel="0" collapsed="false">
      <c r="A91" s="2" t="s">
        <v>216</v>
      </c>
      <c r="B91" s="3" t="n">
        <v>46310.6576388889</v>
      </c>
      <c r="C91" s="2" t="s">
        <v>95</v>
      </c>
      <c r="D91" s="2" t="s">
        <v>71</v>
      </c>
      <c r="E91" s="2" t="s">
        <v>101</v>
      </c>
      <c r="F91" s="4" t="str">
        <f aca="false">VLOOKUP(TRIM($E91),'co-so-du-lieu-virus'!$A$2:$D$9,2,FALSE())</f>
        <v>NightLocker</v>
      </c>
      <c r="G91" s="4" t="str">
        <f aca="false">VLOOKUP(TRIM($E91),'co-so-du-lieu-virus'!$A$2:$D$9,3,FALSE())</f>
        <v>Ransomware</v>
      </c>
      <c r="H91" s="4" t="str">
        <f aca="false">VLOOKUP(TRIM($E91),'co-so-du-lieu-virus'!$A$2:$D$9,4,FALSE())</f>
        <v>Nghiêm trọng</v>
      </c>
    </row>
    <row r="92" customFormat="false" ht="15" hidden="false" customHeight="false" outlineLevel="0" collapsed="false">
      <c r="A92" s="2" t="s">
        <v>217</v>
      </c>
      <c r="B92" s="3" t="n">
        <v>46318.7402777778</v>
      </c>
      <c r="C92" s="2" t="s">
        <v>78</v>
      </c>
      <c r="D92" s="2" t="s">
        <v>34</v>
      </c>
      <c r="E92" s="2" t="s">
        <v>10</v>
      </c>
      <c r="F92" s="4" t="str">
        <f aca="false">VLOOKUP(TRIM($E92),'co-so-du-lieu-virus'!$A$2:$D$9,2,FALSE())</f>
        <v>BankStealer.X</v>
      </c>
      <c r="G92" s="4" t="str">
        <f aca="false">VLOOKUP(TRIM($E92),'co-so-du-lieu-virus'!$A$2:$D$9,3,FALSE())</f>
        <v>Trojan</v>
      </c>
      <c r="H92" s="4" t="str">
        <f aca="false">VLOOKUP(TRIM($E92),'co-so-du-lieu-virus'!$A$2:$D$9,4,FALSE())</f>
        <v>Cao</v>
      </c>
    </row>
    <row r="93" customFormat="false" ht="15" hidden="false" customHeight="false" outlineLevel="0" collapsed="false">
      <c r="A93" s="2" t="s">
        <v>218</v>
      </c>
      <c r="B93" s="3" t="n">
        <v>46307.4027777778</v>
      </c>
      <c r="C93" s="2" t="s">
        <v>219</v>
      </c>
      <c r="D93" s="2" t="s">
        <v>49</v>
      </c>
      <c r="E93" s="2" t="s">
        <v>8</v>
      </c>
      <c r="F93" s="4" t="str">
        <f aca="false">VLOOKUP(TRIM($E93),'co-so-du-lieu-virus'!$A$2:$D$9,2,FALSE())</f>
        <v>NightLocker</v>
      </c>
      <c r="G93" s="4" t="str">
        <f aca="false">VLOOKUP(TRIM($E93),'co-so-du-lieu-virus'!$A$2:$D$9,3,FALSE())</f>
        <v>Ransomware</v>
      </c>
      <c r="H93" s="4" t="str">
        <f aca="false">VLOOKUP(TRIM($E93),'co-so-du-lieu-virus'!$A$2:$D$9,4,FALSE())</f>
        <v>Nghiêm trọng</v>
      </c>
    </row>
    <row r="94" customFormat="false" ht="15" hidden="false" customHeight="false" outlineLevel="0" collapsed="false">
      <c r="A94" s="2" t="s">
        <v>220</v>
      </c>
      <c r="B94" s="3" t="n">
        <v>46297.0576388889</v>
      </c>
      <c r="C94" s="2" t="s">
        <v>172</v>
      </c>
      <c r="D94" s="2" t="s">
        <v>64</v>
      </c>
      <c r="E94" s="2" t="s">
        <v>19</v>
      </c>
      <c r="F94" s="4" t="str">
        <f aca="false">VLOOKUP(TRIM($E94),'co-so-du-lieu-virus'!$A$2:$D$9,2,FALSE())</f>
        <v>SilentSpy</v>
      </c>
      <c r="G94" s="4" t="str">
        <f aca="false">VLOOKUP(TRIM($E94),'co-so-du-lieu-virus'!$A$2:$D$9,3,FALSE())</f>
        <v>Spyware</v>
      </c>
      <c r="H94" s="4" t="str">
        <f aca="false">VLOOKUP(TRIM($E94),'co-so-du-lieu-virus'!$A$2:$D$9,4,FALSE())</f>
        <v>Trung bình</v>
      </c>
    </row>
    <row r="95" customFormat="false" ht="15" hidden="false" customHeight="false" outlineLevel="0" collapsed="false">
      <c r="A95" s="2" t="s">
        <v>221</v>
      </c>
      <c r="B95" s="3" t="n">
        <v>46303.26875</v>
      </c>
      <c r="C95" s="2" t="s">
        <v>178</v>
      </c>
      <c r="D95" s="2" t="s">
        <v>49</v>
      </c>
      <c r="E95" s="2" t="s">
        <v>14</v>
      </c>
      <c r="F95" s="4" t="str">
        <f aca="false">VLOOKUP(TRIM($E95),'co-so-du-lieu-virus'!$A$2:$D$9,2,FALSE())</f>
        <v>RemoteShell.T</v>
      </c>
      <c r="G95" s="4" t="str">
        <f aca="false">VLOOKUP(TRIM($E95),'co-so-du-lieu-virus'!$A$2:$D$9,3,FALSE())</f>
        <v>Trojan</v>
      </c>
      <c r="H95" s="4" t="str">
        <f aca="false">VLOOKUP(TRIM($E95),'co-so-du-lieu-virus'!$A$2:$D$9,4,FALSE())</f>
        <v>Cao</v>
      </c>
    </row>
    <row r="96" customFormat="false" ht="15" hidden="false" customHeight="false" outlineLevel="0" collapsed="false">
      <c r="A96" s="2" t="s">
        <v>222</v>
      </c>
      <c r="B96" s="3" t="n">
        <v>46305.9368055556</v>
      </c>
      <c r="C96" s="2" t="s">
        <v>223</v>
      </c>
      <c r="D96" s="2" t="s">
        <v>49</v>
      </c>
      <c r="E96" s="2" t="s">
        <v>23</v>
      </c>
      <c r="F96" s="4" t="str">
        <f aca="false">VLOOKUP(TRIM($E96),'co-so-du-lieu-virus'!$A$2:$D$9,2,FALSE())</f>
        <v>BotHerd.M</v>
      </c>
      <c r="G96" s="4" t="str">
        <f aca="false">VLOOKUP(TRIM($E96),'co-so-du-lieu-virus'!$A$2:$D$9,3,FALSE())</f>
        <v>Botnet</v>
      </c>
      <c r="H96" s="4" t="str">
        <f aca="false">VLOOKUP(TRIM($E96),'co-so-du-lieu-virus'!$A$2:$D$9,4,FALSE())</f>
        <v>Cao</v>
      </c>
    </row>
    <row r="97" customFormat="false" ht="15" hidden="false" customHeight="false" outlineLevel="0" collapsed="false">
      <c r="A97" s="2" t="s">
        <v>224</v>
      </c>
      <c r="B97" s="3" t="n">
        <v>46302.2104166667</v>
      </c>
      <c r="C97" s="2" t="s">
        <v>225</v>
      </c>
      <c r="D97" s="2" t="s">
        <v>64</v>
      </c>
      <c r="E97" s="2" t="s">
        <v>23</v>
      </c>
      <c r="F97" s="4" t="str">
        <f aca="false">VLOOKUP(TRIM($E97),'co-so-du-lieu-virus'!$A$2:$D$9,2,FALSE())</f>
        <v>BotHerd.M</v>
      </c>
      <c r="G97" s="4" t="str">
        <f aca="false">VLOOKUP(TRIM($E97),'co-so-du-lieu-virus'!$A$2:$D$9,3,FALSE())</f>
        <v>Botnet</v>
      </c>
      <c r="H97" s="4" t="str">
        <f aca="false">VLOOKUP(TRIM($E97),'co-so-du-lieu-virus'!$A$2:$D$9,4,FALSE())</f>
        <v>Cao</v>
      </c>
    </row>
    <row r="98" customFormat="false" ht="15" hidden="false" customHeight="false" outlineLevel="0" collapsed="false">
      <c r="A98" s="2" t="s">
        <v>226</v>
      </c>
      <c r="B98" s="3" t="n">
        <v>46304.2430555556</v>
      </c>
      <c r="C98" s="2" t="s">
        <v>58</v>
      </c>
      <c r="D98" s="2" t="s">
        <v>34</v>
      </c>
      <c r="E98" s="2" t="s">
        <v>16</v>
      </c>
      <c r="F98" s="4" t="str">
        <f aca="false">VLOOKUP(TRIM($E98),'co-so-du-lieu-virus'!$A$2:$D$9,2,FALSE())</f>
        <v>NetCrawler</v>
      </c>
      <c r="G98" s="4" t="str">
        <f aca="false">VLOOKUP(TRIM($E98),'co-so-du-lieu-virus'!$A$2:$D$9,3,FALSE())</f>
        <v>Worm</v>
      </c>
      <c r="H98" s="4" t="str">
        <f aca="false">VLOOKUP(TRIM($E98),'co-so-du-lieu-virus'!$A$2:$D$9,4,FALSE())</f>
        <v>Cao</v>
      </c>
    </row>
    <row r="99" customFormat="false" ht="15" hidden="false" customHeight="false" outlineLevel="0" collapsed="false">
      <c r="A99" s="2" t="s">
        <v>227</v>
      </c>
      <c r="B99" s="3" t="n">
        <v>46305.9277777778</v>
      </c>
      <c r="C99" s="2" t="s">
        <v>228</v>
      </c>
      <c r="D99" s="2" t="s">
        <v>49</v>
      </c>
      <c r="E99" s="2" t="s">
        <v>10</v>
      </c>
      <c r="F99" s="4" t="str">
        <f aca="false">VLOOKUP(TRIM($E99),'co-so-du-lieu-virus'!$A$2:$D$9,2,FALSE())</f>
        <v>BankStealer.X</v>
      </c>
      <c r="G99" s="4" t="str">
        <f aca="false">VLOOKUP(TRIM($E99),'co-so-du-lieu-virus'!$A$2:$D$9,3,FALSE())</f>
        <v>Trojan</v>
      </c>
      <c r="H99" s="4" t="str">
        <f aca="false">VLOOKUP(TRIM($E99),'co-so-du-lieu-virus'!$A$2:$D$9,4,FALSE())</f>
        <v>Cao</v>
      </c>
    </row>
    <row r="100" customFormat="false" ht="15" hidden="false" customHeight="false" outlineLevel="0" collapsed="false">
      <c r="A100" s="2" t="s">
        <v>229</v>
      </c>
      <c r="B100" s="3" t="n">
        <v>46302.0319444445</v>
      </c>
      <c r="C100" s="2" t="s">
        <v>132</v>
      </c>
      <c r="D100" s="2" t="s">
        <v>46</v>
      </c>
      <c r="E100" s="2" t="s">
        <v>50</v>
      </c>
      <c r="F100" s="4" t="str">
        <f aca="false">VLOOKUP(TRIM($E100),'co-so-du-lieu-virus'!$A$2:$D$9,2,FALSE())</f>
        <v>BotHerd.M</v>
      </c>
      <c r="G100" s="4" t="str">
        <f aca="false">VLOOKUP(TRIM($E100),'co-so-du-lieu-virus'!$A$2:$D$9,3,FALSE())</f>
        <v>Botnet</v>
      </c>
      <c r="H100" s="4" t="str">
        <f aca="false">VLOOKUP(TRIM($E100),'co-so-du-lieu-virus'!$A$2:$D$9,4,FALSE())</f>
        <v>Cao</v>
      </c>
    </row>
    <row r="101" customFormat="false" ht="15" hidden="false" customHeight="false" outlineLevel="0" collapsed="false">
      <c r="A101" s="2" t="s">
        <v>230</v>
      </c>
      <c r="B101" s="3" t="n">
        <v>46320.725</v>
      </c>
      <c r="C101" s="2" t="s">
        <v>231</v>
      </c>
      <c r="D101" s="2" t="s">
        <v>64</v>
      </c>
      <c r="E101" s="2" t="s">
        <v>232</v>
      </c>
      <c r="F101" s="4" t="str">
        <f aca="false">VLOOKUP(TRIM($E101),'co-so-du-lieu-virus'!$A$2:$D$9,2,FALSE())</f>
        <v>BankStealer.X</v>
      </c>
      <c r="G101" s="4" t="str">
        <f aca="false">VLOOKUP(TRIM($E101),'co-so-du-lieu-virus'!$A$2:$D$9,3,FALSE())</f>
        <v>Trojan</v>
      </c>
      <c r="H101" s="4" t="str">
        <f aca="false">VLOOKUP(TRIM($E101),'co-so-du-lieu-virus'!$A$2:$D$9,4,FALSE())</f>
        <v>Cao</v>
      </c>
    </row>
    <row r="102" customFormat="false" ht="15" hidden="false" customHeight="false" outlineLevel="0" collapsed="false">
      <c r="A102" s="2" t="s">
        <v>233</v>
      </c>
      <c r="B102" s="3" t="n">
        <v>46296.8076388889</v>
      </c>
      <c r="C102" s="2" t="s">
        <v>234</v>
      </c>
      <c r="D102" s="2" t="s">
        <v>49</v>
      </c>
      <c r="E102" s="2" t="s">
        <v>8</v>
      </c>
      <c r="F102" s="4" t="str">
        <f aca="false">VLOOKUP(TRIM($E102),'co-so-du-lieu-virus'!$A$2:$D$9,2,FALSE())</f>
        <v>NightLocker</v>
      </c>
      <c r="G102" s="4" t="str">
        <f aca="false">VLOOKUP(TRIM($E102),'co-so-du-lieu-virus'!$A$2:$D$9,3,FALSE())</f>
        <v>Ransomware</v>
      </c>
      <c r="H102" s="4" t="str">
        <f aca="false">VLOOKUP(TRIM($E102),'co-so-du-lieu-virus'!$A$2:$D$9,4,FALSE())</f>
        <v>Nghiêm trọng</v>
      </c>
    </row>
    <row r="103" customFormat="false" ht="15" hidden="false" customHeight="false" outlineLevel="0" collapsed="false">
      <c r="A103" s="2" t="s">
        <v>235</v>
      </c>
      <c r="B103" s="3" t="n">
        <v>46312.44375</v>
      </c>
      <c r="C103" s="2" t="s">
        <v>236</v>
      </c>
      <c r="D103" s="2" t="s">
        <v>64</v>
      </c>
      <c r="E103" s="2" t="s">
        <v>16</v>
      </c>
      <c r="F103" s="4" t="str">
        <f aca="false">VLOOKUP(TRIM($E103),'co-so-du-lieu-virus'!$A$2:$D$9,2,FALSE())</f>
        <v>NetCrawler</v>
      </c>
      <c r="G103" s="4" t="str">
        <f aca="false">VLOOKUP(TRIM($E103),'co-so-du-lieu-virus'!$A$2:$D$9,3,FALSE())</f>
        <v>Worm</v>
      </c>
      <c r="H103" s="4" t="str">
        <f aca="false">VLOOKUP(TRIM($E103),'co-so-du-lieu-virus'!$A$2:$D$9,4,FALSE())</f>
        <v>Cao</v>
      </c>
    </row>
    <row r="104" customFormat="false" ht="15" hidden="false" customHeight="false" outlineLevel="0" collapsed="false">
      <c r="A104" s="2" t="s">
        <v>237</v>
      </c>
      <c r="B104" s="3" t="n">
        <v>46318.8819444445</v>
      </c>
      <c r="C104" s="2" t="s">
        <v>238</v>
      </c>
      <c r="D104" s="2" t="s">
        <v>49</v>
      </c>
      <c r="E104" s="2" t="s">
        <v>14</v>
      </c>
      <c r="F104" s="4" t="str">
        <f aca="false">VLOOKUP(TRIM($E104),'co-so-du-lieu-virus'!$A$2:$D$9,2,FALSE())</f>
        <v>RemoteShell.T</v>
      </c>
      <c r="G104" s="4" t="str">
        <f aca="false">VLOOKUP(TRIM($E104),'co-so-du-lieu-virus'!$A$2:$D$9,3,FALSE())</f>
        <v>Trojan</v>
      </c>
      <c r="H104" s="4" t="str">
        <f aca="false">VLOOKUP(TRIM($E104),'co-so-du-lieu-virus'!$A$2:$D$9,4,FALSE())</f>
        <v>Cao</v>
      </c>
    </row>
    <row r="105" customFormat="false" ht="15" hidden="false" customHeight="false" outlineLevel="0" collapsed="false">
      <c r="A105" s="2" t="s">
        <v>239</v>
      </c>
      <c r="B105" s="3" t="n">
        <v>46297.1055555556</v>
      </c>
      <c r="C105" s="2" t="s">
        <v>215</v>
      </c>
      <c r="D105" s="2" t="s">
        <v>34</v>
      </c>
      <c r="E105" s="2" t="s">
        <v>23</v>
      </c>
      <c r="F105" s="4" t="str">
        <f aca="false">VLOOKUP(TRIM($E105),'co-so-du-lieu-virus'!$A$2:$D$9,2,FALSE())</f>
        <v>BotHerd.M</v>
      </c>
      <c r="G105" s="4" t="str">
        <f aca="false">VLOOKUP(TRIM($E105),'co-so-du-lieu-virus'!$A$2:$D$9,3,FALSE())</f>
        <v>Botnet</v>
      </c>
      <c r="H105" s="4" t="str">
        <f aca="false">VLOOKUP(TRIM($E105),'co-so-du-lieu-virus'!$A$2:$D$9,4,FALSE())</f>
        <v>Cao</v>
      </c>
    </row>
    <row r="106" customFormat="false" ht="15" hidden="false" customHeight="false" outlineLevel="0" collapsed="false">
      <c r="A106" s="2" t="s">
        <v>240</v>
      </c>
      <c r="B106" s="3" t="n">
        <v>46317.9027777778</v>
      </c>
      <c r="C106" s="2" t="s">
        <v>241</v>
      </c>
      <c r="D106" s="2" t="s">
        <v>49</v>
      </c>
      <c r="E106" s="2" t="s">
        <v>16</v>
      </c>
      <c r="F106" s="4" t="str">
        <f aca="false">VLOOKUP(TRIM($E106),'co-so-du-lieu-virus'!$A$2:$D$9,2,FALSE())</f>
        <v>NetCrawler</v>
      </c>
      <c r="G106" s="4" t="str">
        <f aca="false">VLOOKUP(TRIM($E106),'co-so-du-lieu-virus'!$A$2:$D$9,3,FALSE())</f>
        <v>Worm</v>
      </c>
      <c r="H106" s="4" t="str">
        <f aca="false">VLOOKUP(TRIM($E106),'co-so-du-lieu-virus'!$A$2:$D$9,4,FALSE())</f>
        <v>Cao</v>
      </c>
    </row>
    <row r="107" customFormat="false" ht="15" hidden="false" customHeight="false" outlineLevel="0" collapsed="false">
      <c r="A107" s="2" t="s">
        <v>242</v>
      </c>
      <c r="B107" s="3" t="n">
        <v>46303.1916666667</v>
      </c>
      <c r="C107" s="2" t="s">
        <v>243</v>
      </c>
      <c r="D107" s="2" t="s">
        <v>64</v>
      </c>
      <c r="E107" s="2" t="s">
        <v>10</v>
      </c>
      <c r="F107" s="4" t="str">
        <f aca="false">VLOOKUP(TRIM($E107),'co-so-du-lieu-virus'!$A$2:$D$9,2,FALSE())</f>
        <v>BankStealer.X</v>
      </c>
      <c r="G107" s="4" t="str">
        <f aca="false">VLOOKUP(TRIM($E107),'co-so-du-lieu-virus'!$A$2:$D$9,3,FALSE())</f>
        <v>Trojan</v>
      </c>
      <c r="H107" s="4" t="str">
        <f aca="false">VLOOKUP(TRIM($E107),'co-so-du-lieu-virus'!$A$2:$D$9,4,FALSE())</f>
        <v>Cao</v>
      </c>
    </row>
    <row r="108" customFormat="false" ht="15" hidden="false" customHeight="false" outlineLevel="0" collapsed="false">
      <c r="A108" s="2" t="s">
        <v>244</v>
      </c>
      <c r="B108" s="3" t="n">
        <v>46317.0291666667</v>
      </c>
      <c r="C108" s="2" t="s">
        <v>122</v>
      </c>
      <c r="D108" s="2" t="s">
        <v>46</v>
      </c>
      <c r="E108" s="2" t="s">
        <v>137</v>
      </c>
      <c r="F108" s="4" t="str">
        <f aca="false">VLOOKUP(TRIM($E108),'co-so-du-lieu-virus'!$A$2:$D$9,2,FALSE())</f>
        <v>CryptoLock.A</v>
      </c>
      <c r="G108" s="4" t="str">
        <f aca="false">VLOOKUP(TRIM($E108),'co-so-du-lieu-virus'!$A$2:$D$9,3,FALSE())</f>
        <v>Ransomware</v>
      </c>
      <c r="H108" s="4" t="str">
        <f aca="false">VLOOKUP(TRIM($E108),'co-so-du-lieu-virus'!$A$2:$D$9,4,FALSE())</f>
        <v>Nghiêm trọng</v>
      </c>
    </row>
    <row r="109" customFormat="false" ht="15" hidden="false" customHeight="false" outlineLevel="0" collapsed="false">
      <c r="A109" s="2" t="s">
        <v>245</v>
      </c>
      <c r="B109" s="3" t="n">
        <v>46319.4506944444</v>
      </c>
      <c r="C109" s="2" t="s">
        <v>246</v>
      </c>
      <c r="D109" s="2" t="s">
        <v>43</v>
      </c>
      <c r="E109" s="2" t="s">
        <v>10</v>
      </c>
      <c r="F109" s="4" t="str">
        <f aca="false">VLOOKUP(TRIM($E109),'co-so-du-lieu-virus'!$A$2:$D$9,2,FALSE())</f>
        <v>BankStealer.X</v>
      </c>
      <c r="G109" s="4" t="str">
        <f aca="false">VLOOKUP(TRIM($E109),'co-so-du-lieu-virus'!$A$2:$D$9,3,FALSE())</f>
        <v>Trojan</v>
      </c>
      <c r="H109" s="4" t="str">
        <f aca="false">VLOOKUP(TRIM($E109),'co-so-du-lieu-virus'!$A$2:$D$9,4,FALSE())</f>
        <v>Cao</v>
      </c>
    </row>
    <row r="110" customFormat="false" ht="15" hidden="false" customHeight="false" outlineLevel="0" collapsed="false">
      <c r="A110" s="2" t="s">
        <v>247</v>
      </c>
      <c r="B110" s="3" t="n">
        <v>46297.8597222222</v>
      </c>
      <c r="C110" s="2" t="s">
        <v>63</v>
      </c>
      <c r="D110" s="2" t="s">
        <v>49</v>
      </c>
      <c r="E110" s="2" t="s">
        <v>10</v>
      </c>
      <c r="F110" s="4" t="str">
        <f aca="false">VLOOKUP(TRIM($E110),'co-so-du-lieu-virus'!$A$2:$D$9,2,FALSE())</f>
        <v>BankStealer.X</v>
      </c>
      <c r="G110" s="4" t="str">
        <f aca="false">VLOOKUP(TRIM($E110),'co-so-du-lieu-virus'!$A$2:$D$9,3,FALSE())</f>
        <v>Trojan</v>
      </c>
      <c r="H110" s="4" t="str">
        <f aca="false">VLOOKUP(TRIM($E110),'co-so-du-lieu-virus'!$A$2:$D$9,4,FALSE())</f>
        <v>Cao</v>
      </c>
    </row>
    <row r="111" customFormat="false" ht="15" hidden="false" customHeight="false" outlineLevel="0" collapsed="false">
      <c r="A111" s="2" t="s">
        <v>248</v>
      </c>
      <c r="B111" s="3" t="n">
        <v>46312.8479166667</v>
      </c>
      <c r="C111" s="2" t="s">
        <v>249</v>
      </c>
      <c r="D111" s="2" t="s">
        <v>49</v>
      </c>
      <c r="E111" s="2" t="s">
        <v>10</v>
      </c>
      <c r="F111" s="4" t="str">
        <f aca="false">VLOOKUP(TRIM($E111),'co-so-du-lieu-virus'!$A$2:$D$9,2,FALSE())</f>
        <v>BankStealer.X</v>
      </c>
      <c r="G111" s="4" t="str">
        <f aca="false">VLOOKUP(TRIM($E111),'co-so-du-lieu-virus'!$A$2:$D$9,3,FALSE())</f>
        <v>Trojan</v>
      </c>
      <c r="H111" s="4" t="str">
        <f aca="false">VLOOKUP(TRIM($E111),'co-so-du-lieu-virus'!$A$2:$D$9,4,FALSE())</f>
        <v>Cao</v>
      </c>
    </row>
    <row r="112" customFormat="false" ht="15" hidden="false" customHeight="false" outlineLevel="0" collapsed="false">
      <c r="A112" s="2" t="s">
        <v>250</v>
      </c>
      <c r="B112" s="3" t="n">
        <v>46310.73125</v>
      </c>
      <c r="C112" s="2" t="s">
        <v>251</v>
      </c>
      <c r="D112" s="2" t="s">
        <v>46</v>
      </c>
      <c r="E112" s="2" t="s">
        <v>252</v>
      </c>
      <c r="F112" s="4" t="str">
        <f aca="false">VLOOKUP(TRIM($E112),'co-so-du-lieu-virus'!$A$2:$D$9,2,FALSE())</f>
        <v>NetCrawler</v>
      </c>
      <c r="G112" s="4" t="str">
        <f aca="false">VLOOKUP(TRIM($E112),'co-so-du-lieu-virus'!$A$2:$D$9,3,FALSE())</f>
        <v>Worm</v>
      </c>
      <c r="H112" s="4" t="str">
        <f aca="false">VLOOKUP(TRIM($E112),'co-so-du-lieu-virus'!$A$2:$D$9,4,FALSE())</f>
        <v>Cao</v>
      </c>
    </row>
    <row r="113" customFormat="false" ht="15" hidden="false" customHeight="false" outlineLevel="0" collapsed="false">
      <c r="A113" s="2" t="s">
        <v>253</v>
      </c>
      <c r="B113" s="3" t="n">
        <v>46314.4090277778</v>
      </c>
      <c r="C113" s="2" t="s">
        <v>254</v>
      </c>
      <c r="D113" s="2" t="s">
        <v>34</v>
      </c>
      <c r="E113" s="2" t="s">
        <v>23</v>
      </c>
      <c r="F113" s="4" t="str">
        <f aca="false">VLOOKUP(TRIM($E113),'co-so-du-lieu-virus'!$A$2:$D$9,2,FALSE())</f>
        <v>BotHerd.M</v>
      </c>
      <c r="G113" s="4" t="str">
        <f aca="false">VLOOKUP(TRIM($E113),'co-so-du-lieu-virus'!$A$2:$D$9,3,FALSE())</f>
        <v>Botnet</v>
      </c>
      <c r="H113" s="4" t="str">
        <f aca="false">VLOOKUP(TRIM($E113),'co-so-du-lieu-virus'!$A$2:$D$9,4,FALSE())</f>
        <v>Cao</v>
      </c>
    </row>
    <row r="114" customFormat="false" ht="15" hidden="false" customHeight="false" outlineLevel="0" collapsed="false">
      <c r="A114" s="2" t="s">
        <v>255</v>
      </c>
      <c r="B114" s="3" t="n">
        <v>46311.5180555556</v>
      </c>
      <c r="C114" s="2" t="s">
        <v>256</v>
      </c>
      <c r="D114" s="2" t="s">
        <v>71</v>
      </c>
      <c r="E114" s="2" t="s">
        <v>10</v>
      </c>
      <c r="F114" s="4" t="str">
        <f aca="false">VLOOKUP(TRIM($E114),'co-so-du-lieu-virus'!$A$2:$D$9,2,FALSE())</f>
        <v>BankStealer.X</v>
      </c>
      <c r="G114" s="4" t="str">
        <f aca="false">VLOOKUP(TRIM($E114),'co-so-du-lieu-virus'!$A$2:$D$9,3,FALSE())</f>
        <v>Trojan</v>
      </c>
      <c r="H114" s="4" t="str">
        <f aca="false">VLOOKUP(TRIM($E114),'co-so-du-lieu-virus'!$A$2:$D$9,4,FALSE())</f>
        <v>Cao</v>
      </c>
    </row>
    <row r="115" customFormat="false" ht="15" hidden="false" customHeight="false" outlineLevel="0" collapsed="false">
      <c r="A115" s="2" t="s">
        <v>257</v>
      </c>
      <c r="B115" s="3" t="n">
        <v>46303.2833333333</v>
      </c>
      <c r="C115" s="2" t="s">
        <v>258</v>
      </c>
      <c r="D115" s="2" t="s">
        <v>43</v>
      </c>
      <c r="E115" s="2" t="s">
        <v>259</v>
      </c>
      <c r="F115" s="4" t="str">
        <f aca="false">VLOOKUP(TRIM($E115),'co-so-du-lieu-virus'!$A$2:$D$9,2,FALSE())</f>
        <v>BankStealer.X</v>
      </c>
      <c r="G115" s="4" t="str">
        <f aca="false">VLOOKUP(TRIM($E115),'co-so-du-lieu-virus'!$A$2:$D$9,3,FALSE())</f>
        <v>Trojan</v>
      </c>
      <c r="H115" s="4" t="str">
        <f aca="false">VLOOKUP(TRIM($E115),'co-so-du-lieu-virus'!$A$2:$D$9,4,FALSE())</f>
        <v>Cao</v>
      </c>
    </row>
    <row r="116" customFormat="false" ht="15" hidden="false" customHeight="false" outlineLevel="0" collapsed="false">
      <c r="A116" s="2" t="s">
        <v>260</v>
      </c>
      <c r="B116" s="3" t="n">
        <v>46320.5243055556</v>
      </c>
      <c r="C116" s="2" t="s">
        <v>261</v>
      </c>
      <c r="D116" s="2" t="s">
        <v>71</v>
      </c>
      <c r="E116" s="2" t="s">
        <v>8</v>
      </c>
      <c r="F116" s="4" t="str">
        <f aca="false">VLOOKUP(TRIM($E116),'co-so-du-lieu-virus'!$A$2:$D$9,2,FALSE())</f>
        <v>NightLocker</v>
      </c>
      <c r="G116" s="4" t="str">
        <f aca="false">VLOOKUP(TRIM($E116),'co-so-du-lieu-virus'!$A$2:$D$9,3,FALSE())</f>
        <v>Ransomware</v>
      </c>
      <c r="H116" s="4" t="str">
        <f aca="false">VLOOKUP(TRIM($E116),'co-so-du-lieu-virus'!$A$2:$D$9,4,FALSE())</f>
        <v>Nghiêm trọng</v>
      </c>
    </row>
    <row r="117" customFormat="false" ht="15" hidden="false" customHeight="false" outlineLevel="0" collapsed="false">
      <c r="A117" s="2" t="s">
        <v>262</v>
      </c>
      <c r="B117" s="3" t="n">
        <v>46314.4652777778</v>
      </c>
      <c r="C117" s="2" t="s">
        <v>263</v>
      </c>
      <c r="D117" s="2" t="s">
        <v>64</v>
      </c>
      <c r="E117" s="2" t="s">
        <v>19</v>
      </c>
      <c r="F117" s="4" t="str">
        <f aca="false">VLOOKUP(TRIM($E117),'co-so-du-lieu-virus'!$A$2:$D$9,2,FALSE())</f>
        <v>SilentSpy</v>
      </c>
      <c r="G117" s="4" t="str">
        <f aca="false">VLOOKUP(TRIM($E117),'co-so-du-lieu-virus'!$A$2:$D$9,3,FALSE())</f>
        <v>Spyware</v>
      </c>
      <c r="H117" s="4" t="str">
        <f aca="false">VLOOKUP(TRIM($E117),'co-so-du-lieu-virus'!$A$2:$D$9,4,FALSE())</f>
        <v>Trung bình</v>
      </c>
    </row>
    <row r="118" customFormat="false" ht="15" hidden="false" customHeight="false" outlineLevel="0" collapsed="false">
      <c r="A118" s="2" t="s">
        <v>264</v>
      </c>
      <c r="B118" s="3" t="n">
        <v>46309.7298611111</v>
      </c>
      <c r="C118" s="2" t="s">
        <v>66</v>
      </c>
      <c r="D118" s="2" t="s">
        <v>46</v>
      </c>
      <c r="E118" s="2" t="s">
        <v>10</v>
      </c>
      <c r="F118" s="4" t="str">
        <f aca="false">VLOOKUP(TRIM($E118),'co-so-du-lieu-virus'!$A$2:$D$9,2,FALSE())</f>
        <v>BankStealer.X</v>
      </c>
      <c r="G118" s="4" t="str">
        <f aca="false">VLOOKUP(TRIM($E118),'co-so-du-lieu-virus'!$A$2:$D$9,3,FALSE())</f>
        <v>Trojan</v>
      </c>
      <c r="H118" s="4" t="str">
        <f aca="false">VLOOKUP(TRIM($E118),'co-so-du-lieu-virus'!$A$2:$D$9,4,FALSE())</f>
        <v>Cao</v>
      </c>
    </row>
    <row r="119" customFormat="false" ht="15" hidden="false" customHeight="false" outlineLevel="0" collapsed="false">
      <c r="A119" s="2" t="s">
        <v>265</v>
      </c>
      <c r="B119" s="3" t="n">
        <v>46298.2555555556</v>
      </c>
      <c r="C119" s="2" t="s">
        <v>225</v>
      </c>
      <c r="D119" s="2" t="s">
        <v>71</v>
      </c>
      <c r="E119" s="2" t="s">
        <v>4</v>
      </c>
      <c r="F119" s="4" t="str">
        <f aca="false">VLOOKUP(TRIM($E119),'co-so-du-lieu-virus'!$A$2:$D$9,2,FALSE())</f>
        <v>CryptoLock.A</v>
      </c>
      <c r="G119" s="4" t="str">
        <f aca="false">VLOOKUP(TRIM($E119),'co-so-du-lieu-virus'!$A$2:$D$9,3,FALSE())</f>
        <v>Ransomware</v>
      </c>
      <c r="H119" s="4" t="str">
        <f aca="false">VLOOKUP(TRIM($E119),'co-so-du-lieu-virus'!$A$2:$D$9,4,FALSE())</f>
        <v>Nghiêm trọng</v>
      </c>
    </row>
    <row r="120" customFormat="false" ht="15" hidden="false" customHeight="false" outlineLevel="0" collapsed="false">
      <c r="A120" s="2" t="s">
        <v>266</v>
      </c>
      <c r="B120" s="3" t="n">
        <v>46311.3743055556</v>
      </c>
      <c r="C120" s="2" t="s">
        <v>267</v>
      </c>
      <c r="D120" s="2" t="s">
        <v>64</v>
      </c>
      <c r="E120" s="2" t="s">
        <v>26</v>
      </c>
      <c r="F120" s="4" t="str">
        <f aca="false">VLOOKUP(TRIM($E120),'co-so-du-lieu-virus'!$A$2:$D$9,2,FALSE())</f>
        <v>KeyWatch</v>
      </c>
      <c r="G120" s="4" t="str">
        <f aca="false">VLOOKUP(TRIM($E120),'co-so-du-lieu-virus'!$A$2:$D$9,3,FALSE())</f>
        <v>Spyware</v>
      </c>
      <c r="H120" s="4" t="str">
        <f aca="false">VLOOKUP(TRIM($E120),'co-so-du-lieu-virus'!$A$2:$D$9,4,FALSE())</f>
        <v>Trung bình</v>
      </c>
    </row>
    <row r="121" customFormat="false" ht="15" hidden="false" customHeight="false" outlineLevel="0" collapsed="false">
      <c r="A121" s="2" t="s">
        <v>268</v>
      </c>
      <c r="B121" s="3" t="n">
        <v>46313.7305555556</v>
      </c>
      <c r="C121" s="2" t="s">
        <v>269</v>
      </c>
      <c r="D121" s="2" t="s">
        <v>43</v>
      </c>
      <c r="E121" s="2" t="s">
        <v>184</v>
      </c>
      <c r="F121" s="4" t="str">
        <f aca="false">VLOOKUP(TRIM($E121),'co-so-du-lieu-virus'!$A$2:$D$9,2,FALSE())</f>
        <v>RemoteShell.T</v>
      </c>
      <c r="G121" s="4" t="str">
        <f aca="false">VLOOKUP(TRIM($E121),'co-so-du-lieu-virus'!$A$2:$D$9,3,FALSE())</f>
        <v>Trojan</v>
      </c>
      <c r="H121" s="4" t="str">
        <f aca="false">VLOOKUP(TRIM($E121),'co-so-du-lieu-virus'!$A$2:$D$9,4,FALSE())</f>
        <v>Cao</v>
      </c>
    </row>
    <row r="122" customFormat="false" ht="15" hidden="false" customHeight="false" outlineLevel="0" collapsed="false">
      <c r="A122" s="2" t="s">
        <v>270</v>
      </c>
      <c r="B122" s="3" t="n">
        <v>46313.99375</v>
      </c>
      <c r="C122" s="2" t="s">
        <v>271</v>
      </c>
      <c r="D122" s="2" t="s">
        <v>46</v>
      </c>
      <c r="E122" s="2" t="s">
        <v>16</v>
      </c>
      <c r="F122" s="4" t="str">
        <f aca="false">VLOOKUP(TRIM($E122),'co-so-du-lieu-virus'!$A$2:$D$9,2,FALSE())</f>
        <v>NetCrawler</v>
      </c>
      <c r="G122" s="4" t="str">
        <f aca="false">VLOOKUP(TRIM($E122),'co-so-du-lieu-virus'!$A$2:$D$9,3,FALSE())</f>
        <v>Worm</v>
      </c>
      <c r="H122" s="4" t="str">
        <f aca="false">VLOOKUP(TRIM($E122),'co-so-du-lieu-virus'!$A$2:$D$9,4,FALSE())</f>
        <v>Cao</v>
      </c>
    </row>
    <row r="123" customFormat="false" ht="15" hidden="false" customHeight="false" outlineLevel="0" collapsed="false">
      <c r="A123" s="2" t="s">
        <v>272</v>
      </c>
      <c r="B123" s="3" t="n">
        <v>46307.6791666667</v>
      </c>
      <c r="C123" s="2" t="s">
        <v>273</v>
      </c>
      <c r="D123" s="2" t="s">
        <v>43</v>
      </c>
      <c r="E123" s="2" t="s">
        <v>206</v>
      </c>
      <c r="F123" s="4" t="str">
        <f aca="false">VLOOKUP(TRIM($E123),'co-so-du-lieu-virus'!$A$2:$D$9,2,FALSE())</f>
        <v>NightLocker</v>
      </c>
      <c r="G123" s="4" t="str">
        <f aca="false">VLOOKUP(TRIM($E123),'co-so-du-lieu-virus'!$A$2:$D$9,3,FALSE())</f>
        <v>Ransomware</v>
      </c>
      <c r="H123" s="4" t="str">
        <f aca="false">VLOOKUP(TRIM($E123),'co-so-du-lieu-virus'!$A$2:$D$9,4,FALSE())</f>
        <v>Nghiêm trọng</v>
      </c>
    </row>
    <row r="124" customFormat="false" ht="15" hidden="false" customHeight="false" outlineLevel="0" collapsed="false">
      <c r="A124" s="2" t="s">
        <v>274</v>
      </c>
      <c r="B124" s="3" t="n">
        <v>46313.0972222222</v>
      </c>
      <c r="C124" s="2" t="s">
        <v>275</v>
      </c>
      <c r="D124" s="2" t="s">
        <v>46</v>
      </c>
      <c r="E124" s="2" t="s">
        <v>14</v>
      </c>
      <c r="F124" s="4" t="str">
        <f aca="false">VLOOKUP(TRIM($E124),'co-so-du-lieu-virus'!$A$2:$D$9,2,FALSE())</f>
        <v>RemoteShell.T</v>
      </c>
      <c r="G124" s="4" t="str">
        <f aca="false">VLOOKUP(TRIM($E124),'co-so-du-lieu-virus'!$A$2:$D$9,3,FALSE())</f>
        <v>Trojan</v>
      </c>
      <c r="H124" s="4" t="str">
        <f aca="false">VLOOKUP(TRIM($E124),'co-so-du-lieu-virus'!$A$2:$D$9,4,FALSE())</f>
        <v>Cao</v>
      </c>
    </row>
    <row r="125" customFormat="false" ht="15" hidden="false" customHeight="false" outlineLevel="0" collapsed="false">
      <c r="A125" s="2" t="s">
        <v>276</v>
      </c>
      <c r="B125" s="3" t="n">
        <v>46311.5118055556</v>
      </c>
      <c r="C125" s="2" t="s">
        <v>277</v>
      </c>
      <c r="D125" s="2" t="s">
        <v>34</v>
      </c>
      <c r="E125" s="2" t="s">
        <v>10</v>
      </c>
      <c r="F125" s="4" t="str">
        <f aca="false">VLOOKUP(TRIM($E125),'co-so-du-lieu-virus'!$A$2:$D$9,2,FALSE())</f>
        <v>BankStealer.X</v>
      </c>
      <c r="G125" s="4" t="str">
        <f aca="false">VLOOKUP(TRIM($E125),'co-so-du-lieu-virus'!$A$2:$D$9,3,FALSE())</f>
        <v>Trojan</v>
      </c>
      <c r="H125" s="4" t="str">
        <f aca="false">VLOOKUP(TRIM($E125),'co-so-du-lieu-virus'!$A$2:$D$9,4,FALSE())</f>
        <v>Cao</v>
      </c>
    </row>
    <row r="126" customFormat="false" ht="15" hidden="false" customHeight="false" outlineLevel="0" collapsed="false">
      <c r="A126" s="2" t="s">
        <v>278</v>
      </c>
      <c r="B126" s="3" t="n">
        <v>46321.8493055556</v>
      </c>
      <c r="C126" s="2" t="s">
        <v>63</v>
      </c>
      <c r="D126" s="2" t="s">
        <v>46</v>
      </c>
      <c r="E126" s="2" t="s">
        <v>14</v>
      </c>
      <c r="F126" s="4" t="str">
        <f aca="false">VLOOKUP(TRIM($E126),'co-so-du-lieu-virus'!$A$2:$D$9,2,FALSE())</f>
        <v>RemoteShell.T</v>
      </c>
      <c r="G126" s="4" t="str">
        <f aca="false">VLOOKUP(TRIM($E126),'co-so-du-lieu-virus'!$A$2:$D$9,3,FALSE())</f>
        <v>Trojan</v>
      </c>
      <c r="H126" s="4" t="str">
        <f aca="false">VLOOKUP(TRIM($E126),'co-so-du-lieu-virus'!$A$2:$D$9,4,FALSE())</f>
        <v>Cao</v>
      </c>
    </row>
    <row r="127" customFormat="false" ht="15" hidden="false" customHeight="false" outlineLevel="0" collapsed="false">
      <c r="A127" s="2" t="s">
        <v>279</v>
      </c>
      <c r="B127" s="3" t="n">
        <v>46299.4673611111</v>
      </c>
      <c r="C127" s="2" t="s">
        <v>277</v>
      </c>
      <c r="D127" s="2" t="s">
        <v>34</v>
      </c>
      <c r="E127" s="2" t="s">
        <v>16</v>
      </c>
      <c r="F127" s="4" t="str">
        <f aca="false">VLOOKUP(TRIM($E127),'co-so-du-lieu-virus'!$A$2:$D$9,2,FALSE())</f>
        <v>NetCrawler</v>
      </c>
      <c r="G127" s="4" t="str">
        <f aca="false">VLOOKUP(TRIM($E127),'co-so-du-lieu-virus'!$A$2:$D$9,3,FALSE())</f>
        <v>Worm</v>
      </c>
      <c r="H127" s="4" t="str">
        <f aca="false">VLOOKUP(TRIM($E127),'co-so-du-lieu-virus'!$A$2:$D$9,4,FALSE())</f>
        <v>Cao</v>
      </c>
    </row>
    <row r="128" customFormat="false" ht="15" hidden="false" customHeight="false" outlineLevel="0" collapsed="false">
      <c r="A128" s="2" t="s">
        <v>280</v>
      </c>
      <c r="B128" s="3" t="n">
        <v>46313.5861111111</v>
      </c>
      <c r="C128" s="2" t="s">
        <v>205</v>
      </c>
      <c r="D128" s="2" t="s">
        <v>49</v>
      </c>
      <c r="E128" s="2" t="s">
        <v>16</v>
      </c>
      <c r="F128" s="4" t="str">
        <f aca="false">VLOOKUP(TRIM($E128),'co-so-du-lieu-virus'!$A$2:$D$9,2,FALSE())</f>
        <v>NetCrawler</v>
      </c>
      <c r="G128" s="4" t="str">
        <f aca="false">VLOOKUP(TRIM($E128),'co-so-du-lieu-virus'!$A$2:$D$9,3,FALSE())</f>
        <v>Worm</v>
      </c>
      <c r="H128" s="4" t="str">
        <f aca="false">VLOOKUP(TRIM($E128),'co-so-du-lieu-virus'!$A$2:$D$9,4,FALSE())</f>
        <v>Cao</v>
      </c>
    </row>
    <row r="129" customFormat="false" ht="15" hidden="false" customHeight="false" outlineLevel="0" collapsed="false">
      <c r="A129" s="2" t="s">
        <v>281</v>
      </c>
      <c r="B129" s="3" t="n">
        <v>46318.5513888889</v>
      </c>
      <c r="C129" s="2" t="s">
        <v>282</v>
      </c>
      <c r="D129" s="2" t="s">
        <v>34</v>
      </c>
      <c r="E129" s="2" t="s">
        <v>10</v>
      </c>
      <c r="F129" s="4" t="str">
        <f aca="false">VLOOKUP(TRIM($E129),'co-so-du-lieu-virus'!$A$2:$D$9,2,FALSE())</f>
        <v>BankStealer.X</v>
      </c>
      <c r="G129" s="4" t="str">
        <f aca="false">VLOOKUP(TRIM($E129),'co-so-du-lieu-virus'!$A$2:$D$9,3,FALSE())</f>
        <v>Trojan</v>
      </c>
      <c r="H129" s="4" t="str">
        <f aca="false">VLOOKUP(TRIM($E129),'co-so-du-lieu-virus'!$A$2:$D$9,4,FALSE())</f>
        <v>Cao</v>
      </c>
    </row>
    <row r="130" customFormat="false" ht="15" hidden="false" customHeight="false" outlineLevel="0" collapsed="false">
      <c r="A130" s="2" t="s">
        <v>283</v>
      </c>
      <c r="B130" s="3" t="n">
        <v>46318.50625</v>
      </c>
      <c r="C130" s="2" t="s">
        <v>80</v>
      </c>
      <c r="D130" s="2" t="s">
        <v>71</v>
      </c>
      <c r="E130" s="2" t="s">
        <v>16</v>
      </c>
      <c r="F130" s="4" t="str">
        <f aca="false">VLOOKUP(TRIM($E130),'co-so-du-lieu-virus'!$A$2:$D$9,2,FALSE())</f>
        <v>NetCrawler</v>
      </c>
      <c r="G130" s="4" t="str">
        <f aca="false">VLOOKUP(TRIM($E130),'co-so-du-lieu-virus'!$A$2:$D$9,3,FALSE())</f>
        <v>Worm</v>
      </c>
      <c r="H130" s="4" t="str">
        <f aca="false">VLOOKUP(TRIM($E130),'co-so-du-lieu-virus'!$A$2:$D$9,4,FALSE())</f>
        <v>Cao</v>
      </c>
    </row>
    <row r="131" customFormat="false" ht="15" hidden="false" customHeight="false" outlineLevel="0" collapsed="false">
      <c r="A131" s="2" t="s">
        <v>284</v>
      </c>
      <c r="B131" s="3" t="n">
        <v>46312.6375</v>
      </c>
      <c r="C131" s="2" t="s">
        <v>223</v>
      </c>
      <c r="D131" s="2" t="s">
        <v>71</v>
      </c>
      <c r="E131" s="2" t="s">
        <v>14</v>
      </c>
      <c r="F131" s="4" t="str">
        <f aca="false">VLOOKUP(TRIM($E131),'co-so-du-lieu-virus'!$A$2:$D$9,2,FALSE())</f>
        <v>RemoteShell.T</v>
      </c>
      <c r="G131" s="4" t="str">
        <f aca="false">VLOOKUP(TRIM($E131),'co-so-du-lieu-virus'!$A$2:$D$9,3,FALSE())</f>
        <v>Trojan</v>
      </c>
      <c r="H131" s="4" t="str">
        <f aca="false">VLOOKUP(TRIM($E131),'co-so-du-lieu-virus'!$A$2:$D$9,4,FALSE())</f>
        <v>Cao</v>
      </c>
    </row>
    <row r="132" customFormat="false" ht="15" hidden="false" customHeight="false" outlineLevel="0" collapsed="false">
      <c r="A132" s="2" t="s">
        <v>285</v>
      </c>
      <c r="B132" s="3" t="n">
        <v>46308.9034722222</v>
      </c>
      <c r="C132" s="2" t="s">
        <v>286</v>
      </c>
      <c r="D132" s="2" t="s">
        <v>64</v>
      </c>
      <c r="E132" s="2" t="s">
        <v>14</v>
      </c>
      <c r="F132" s="4" t="str">
        <f aca="false">VLOOKUP(TRIM($E132),'co-so-du-lieu-virus'!$A$2:$D$9,2,FALSE())</f>
        <v>RemoteShell.T</v>
      </c>
      <c r="G132" s="4" t="str">
        <f aca="false">VLOOKUP(TRIM($E132),'co-so-du-lieu-virus'!$A$2:$D$9,3,FALSE())</f>
        <v>Trojan</v>
      </c>
      <c r="H132" s="4" t="str">
        <f aca="false">VLOOKUP(TRIM($E132),'co-so-du-lieu-virus'!$A$2:$D$9,4,FALSE())</f>
        <v>Cao</v>
      </c>
    </row>
    <row r="133" customFormat="false" ht="15" hidden="false" customHeight="false" outlineLevel="0" collapsed="false">
      <c r="A133" s="2" t="s">
        <v>287</v>
      </c>
      <c r="B133" s="3" t="n">
        <v>46297.9465277778</v>
      </c>
      <c r="C133" s="2" t="s">
        <v>288</v>
      </c>
      <c r="D133" s="2" t="s">
        <v>49</v>
      </c>
      <c r="E133" s="2" t="s">
        <v>289</v>
      </c>
      <c r="F133" s="4" t="str">
        <f aca="false">VLOOKUP(TRIM($E133),'co-so-du-lieu-virus'!$A$2:$D$9,2,FALSE())</f>
        <v>SilentSpy</v>
      </c>
      <c r="G133" s="4" t="str">
        <f aca="false">VLOOKUP(TRIM($E133),'co-so-du-lieu-virus'!$A$2:$D$9,3,FALSE())</f>
        <v>Spyware</v>
      </c>
      <c r="H133" s="4" t="str">
        <f aca="false">VLOOKUP(TRIM($E133),'co-so-du-lieu-virus'!$A$2:$D$9,4,FALSE())</f>
        <v>Trung bình</v>
      </c>
    </row>
    <row r="134" customFormat="false" ht="15" hidden="false" customHeight="false" outlineLevel="0" collapsed="false">
      <c r="A134" s="2" t="s">
        <v>290</v>
      </c>
      <c r="B134" s="3" t="n">
        <v>46298.4020833333</v>
      </c>
      <c r="C134" s="2" t="s">
        <v>291</v>
      </c>
      <c r="D134" s="2" t="s">
        <v>71</v>
      </c>
      <c r="E134" s="2" t="s">
        <v>14</v>
      </c>
      <c r="F134" s="4" t="str">
        <f aca="false">VLOOKUP(TRIM($E134),'co-so-du-lieu-virus'!$A$2:$D$9,2,FALSE())</f>
        <v>RemoteShell.T</v>
      </c>
      <c r="G134" s="4" t="str">
        <f aca="false">VLOOKUP(TRIM($E134),'co-so-du-lieu-virus'!$A$2:$D$9,3,FALSE())</f>
        <v>Trojan</v>
      </c>
      <c r="H134" s="4" t="str">
        <f aca="false">VLOOKUP(TRIM($E134),'co-so-du-lieu-virus'!$A$2:$D$9,4,FALSE())</f>
        <v>Cao</v>
      </c>
    </row>
    <row r="135" customFormat="false" ht="15" hidden="false" customHeight="false" outlineLevel="0" collapsed="false">
      <c r="A135" s="2" t="s">
        <v>292</v>
      </c>
      <c r="B135" s="3" t="n">
        <v>46310.5284722222</v>
      </c>
      <c r="C135" s="2" t="s">
        <v>293</v>
      </c>
      <c r="D135" s="2" t="s">
        <v>49</v>
      </c>
      <c r="E135" s="2" t="s">
        <v>294</v>
      </c>
      <c r="F135" s="4" t="str">
        <f aca="false">VLOOKUP(TRIM($E135),'co-so-du-lieu-virus'!$A$2:$D$9,2,FALSE())</f>
        <v>SilentSpy</v>
      </c>
      <c r="G135" s="4" t="str">
        <f aca="false">VLOOKUP(TRIM($E135),'co-so-du-lieu-virus'!$A$2:$D$9,3,FALSE())</f>
        <v>Spyware</v>
      </c>
      <c r="H135" s="4" t="str">
        <f aca="false">VLOOKUP(TRIM($E135),'co-so-du-lieu-virus'!$A$2:$D$9,4,FALSE())</f>
        <v>Trung bình</v>
      </c>
    </row>
    <row r="136" customFormat="false" ht="15" hidden="false" customHeight="false" outlineLevel="0" collapsed="false">
      <c r="A136" s="2" t="s">
        <v>295</v>
      </c>
      <c r="B136" s="3" t="n">
        <v>46307.0909722222</v>
      </c>
      <c r="C136" s="2" t="s">
        <v>296</v>
      </c>
      <c r="D136" s="2" t="s">
        <v>34</v>
      </c>
      <c r="E136" s="2" t="s">
        <v>14</v>
      </c>
      <c r="F136" s="4" t="str">
        <f aca="false">VLOOKUP(TRIM($E136),'co-so-du-lieu-virus'!$A$2:$D$9,2,FALSE())</f>
        <v>RemoteShell.T</v>
      </c>
      <c r="G136" s="4" t="str">
        <f aca="false">VLOOKUP(TRIM($E136),'co-so-du-lieu-virus'!$A$2:$D$9,3,FALSE())</f>
        <v>Trojan</v>
      </c>
      <c r="H136" s="4" t="str">
        <f aca="false">VLOOKUP(TRIM($E136),'co-so-du-lieu-virus'!$A$2:$D$9,4,FALSE())</f>
        <v>Cao</v>
      </c>
    </row>
    <row r="137" customFormat="false" ht="15" hidden="false" customHeight="false" outlineLevel="0" collapsed="false">
      <c r="A137" s="2" t="s">
        <v>297</v>
      </c>
      <c r="B137" s="3" t="n">
        <v>46317.3145833333</v>
      </c>
      <c r="C137" s="2" t="s">
        <v>298</v>
      </c>
      <c r="D137" s="2" t="s">
        <v>49</v>
      </c>
      <c r="E137" s="2" t="s">
        <v>4</v>
      </c>
      <c r="F137" s="4" t="str">
        <f aca="false">VLOOKUP(TRIM($E137),'co-so-du-lieu-virus'!$A$2:$D$9,2,FALSE())</f>
        <v>CryptoLock.A</v>
      </c>
      <c r="G137" s="4" t="str">
        <f aca="false">VLOOKUP(TRIM($E137),'co-so-du-lieu-virus'!$A$2:$D$9,3,FALSE())</f>
        <v>Ransomware</v>
      </c>
      <c r="H137" s="4" t="str">
        <f aca="false">VLOOKUP(TRIM($E137),'co-so-du-lieu-virus'!$A$2:$D$9,4,FALSE())</f>
        <v>Nghiêm trọng</v>
      </c>
    </row>
    <row r="138" customFormat="false" ht="15" hidden="false" customHeight="false" outlineLevel="0" collapsed="false">
      <c r="A138" s="2" t="s">
        <v>299</v>
      </c>
      <c r="B138" s="3" t="n">
        <v>46314.9847222222</v>
      </c>
      <c r="C138" s="2" t="s">
        <v>300</v>
      </c>
      <c r="D138" s="2" t="s">
        <v>46</v>
      </c>
      <c r="E138" s="2" t="s">
        <v>301</v>
      </c>
      <c r="F138" s="4" t="str">
        <f aca="false">VLOOKUP(TRIM($E138),'co-so-du-lieu-virus'!$A$2:$D$9,2,FALSE())</f>
        <v>NetCrawler</v>
      </c>
      <c r="G138" s="4" t="str">
        <f aca="false">VLOOKUP(TRIM($E138),'co-so-du-lieu-virus'!$A$2:$D$9,3,FALSE())</f>
        <v>Worm</v>
      </c>
      <c r="H138" s="4" t="str">
        <f aca="false">VLOOKUP(TRIM($E138),'co-so-du-lieu-virus'!$A$2:$D$9,4,FALSE())</f>
        <v>Cao</v>
      </c>
    </row>
    <row r="139" customFormat="false" ht="15" hidden="false" customHeight="false" outlineLevel="0" collapsed="false">
      <c r="A139" s="2" t="s">
        <v>302</v>
      </c>
      <c r="B139" s="3" t="n">
        <v>46303.0416666667</v>
      </c>
      <c r="C139" s="2" t="s">
        <v>303</v>
      </c>
      <c r="D139" s="2" t="s">
        <v>71</v>
      </c>
      <c r="E139" s="2" t="s">
        <v>259</v>
      </c>
      <c r="F139" s="4" t="str">
        <f aca="false">VLOOKUP(TRIM($E139),'co-so-du-lieu-virus'!$A$2:$D$9,2,FALSE())</f>
        <v>BankStealer.X</v>
      </c>
      <c r="G139" s="4" t="str">
        <f aca="false">VLOOKUP(TRIM($E139),'co-so-du-lieu-virus'!$A$2:$D$9,3,FALSE())</f>
        <v>Trojan</v>
      </c>
      <c r="H139" s="4" t="str">
        <f aca="false">VLOOKUP(TRIM($E139),'co-so-du-lieu-virus'!$A$2:$D$9,4,FALSE())</f>
        <v>Cao</v>
      </c>
    </row>
    <row r="140" customFormat="false" ht="15" hidden="false" customHeight="false" outlineLevel="0" collapsed="false">
      <c r="A140" s="2" t="s">
        <v>304</v>
      </c>
      <c r="B140" s="3" t="n">
        <v>46316.7326388889</v>
      </c>
      <c r="C140" s="2" t="s">
        <v>305</v>
      </c>
      <c r="D140" s="2" t="s">
        <v>71</v>
      </c>
      <c r="E140" s="2" t="s">
        <v>14</v>
      </c>
      <c r="F140" s="4" t="str">
        <f aca="false">VLOOKUP(TRIM($E140),'co-so-du-lieu-virus'!$A$2:$D$9,2,FALSE())</f>
        <v>RemoteShell.T</v>
      </c>
      <c r="G140" s="4" t="str">
        <f aca="false">VLOOKUP(TRIM($E140),'co-so-du-lieu-virus'!$A$2:$D$9,3,FALSE())</f>
        <v>Trojan</v>
      </c>
      <c r="H140" s="4" t="str">
        <f aca="false">VLOOKUP(TRIM($E140),'co-so-du-lieu-virus'!$A$2:$D$9,4,FALSE())</f>
        <v>Cao</v>
      </c>
    </row>
    <row r="141" customFormat="false" ht="15" hidden="false" customHeight="false" outlineLevel="0" collapsed="false">
      <c r="A141" s="2" t="s">
        <v>306</v>
      </c>
      <c r="B141" s="3" t="n">
        <v>46312.5666666667</v>
      </c>
      <c r="C141" s="2" t="s">
        <v>228</v>
      </c>
      <c r="D141" s="2" t="s">
        <v>64</v>
      </c>
      <c r="E141" s="2" t="s">
        <v>16</v>
      </c>
      <c r="F141" s="4" t="str">
        <f aca="false">VLOOKUP(TRIM($E141),'co-so-du-lieu-virus'!$A$2:$D$9,2,FALSE())</f>
        <v>NetCrawler</v>
      </c>
      <c r="G141" s="4" t="str">
        <f aca="false">VLOOKUP(TRIM($E141),'co-so-du-lieu-virus'!$A$2:$D$9,3,FALSE())</f>
        <v>Worm</v>
      </c>
      <c r="H141" s="4" t="str">
        <f aca="false">VLOOKUP(TRIM($E141),'co-so-du-lieu-virus'!$A$2:$D$9,4,FALSE())</f>
        <v>Cao</v>
      </c>
    </row>
    <row r="142" customFormat="false" ht="15" hidden="false" customHeight="false" outlineLevel="0" collapsed="false">
      <c r="A142" s="2" t="s">
        <v>307</v>
      </c>
      <c r="B142" s="3" t="n">
        <v>46309.2034722222</v>
      </c>
      <c r="C142" s="2" t="s">
        <v>78</v>
      </c>
      <c r="D142" s="2" t="s">
        <v>49</v>
      </c>
      <c r="E142" s="2" t="s">
        <v>14</v>
      </c>
      <c r="F142" s="4" t="str">
        <f aca="false">VLOOKUP(TRIM($E142),'co-so-du-lieu-virus'!$A$2:$D$9,2,FALSE())</f>
        <v>RemoteShell.T</v>
      </c>
      <c r="G142" s="4" t="str">
        <f aca="false">VLOOKUP(TRIM($E142),'co-so-du-lieu-virus'!$A$2:$D$9,3,FALSE())</f>
        <v>Trojan</v>
      </c>
      <c r="H142" s="4" t="str">
        <f aca="false">VLOOKUP(TRIM($E142),'co-so-du-lieu-virus'!$A$2:$D$9,4,FALSE())</f>
        <v>Cao</v>
      </c>
    </row>
    <row r="143" customFormat="false" ht="15" hidden="false" customHeight="false" outlineLevel="0" collapsed="false">
      <c r="A143" s="2" t="s">
        <v>308</v>
      </c>
      <c r="B143" s="3" t="n">
        <v>46319.0895833333</v>
      </c>
      <c r="C143" s="2" t="s">
        <v>45</v>
      </c>
      <c r="D143" s="2" t="s">
        <v>71</v>
      </c>
      <c r="E143" s="2" t="s">
        <v>232</v>
      </c>
      <c r="F143" s="4" t="str">
        <f aca="false">VLOOKUP(TRIM($E143),'co-so-du-lieu-virus'!$A$2:$D$9,2,FALSE())</f>
        <v>BankStealer.X</v>
      </c>
      <c r="G143" s="4" t="str">
        <f aca="false">VLOOKUP(TRIM($E143),'co-so-du-lieu-virus'!$A$2:$D$9,3,FALSE())</f>
        <v>Trojan</v>
      </c>
      <c r="H143" s="4" t="str">
        <f aca="false">VLOOKUP(TRIM($E143),'co-so-du-lieu-virus'!$A$2:$D$9,4,FALSE())</f>
        <v>Cao</v>
      </c>
    </row>
    <row r="144" customFormat="false" ht="15" hidden="false" customHeight="false" outlineLevel="0" collapsed="false">
      <c r="A144" s="2" t="s">
        <v>309</v>
      </c>
      <c r="B144" s="3" t="n">
        <v>46321.7083333333</v>
      </c>
      <c r="C144" s="2" t="s">
        <v>310</v>
      </c>
      <c r="D144" s="2" t="s">
        <v>34</v>
      </c>
      <c r="E144" s="2" t="s">
        <v>10</v>
      </c>
      <c r="F144" s="4" t="str">
        <f aca="false">VLOOKUP(TRIM($E144),'co-so-du-lieu-virus'!$A$2:$D$9,2,FALSE())</f>
        <v>BankStealer.X</v>
      </c>
      <c r="G144" s="4" t="str">
        <f aca="false">VLOOKUP(TRIM($E144),'co-so-du-lieu-virus'!$A$2:$D$9,3,FALSE())</f>
        <v>Trojan</v>
      </c>
      <c r="H144" s="4" t="str">
        <f aca="false">VLOOKUP(TRIM($E144),'co-so-du-lieu-virus'!$A$2:$D$9,4,FALSE())</f>
        <v>Cao</v>
      </c>
    </row>
    <row r="145" customFormat="false" ht="15" hidden="false" customHeight="false" outlineLevel="0" collapsed="false">
      <c r="A145" s="2" t="s">
        <v>311</v>
      </c>
      <c r="B145" s="3" t="n">
        <v>46306.8965277778</v>
      </c>
      <c r="C145" s="2" t="s">
        <v>312</v>
      </c>
      <c r="D145" s="2" t="s">
        <v>49</v>
      </c>
      <c r="E145" s="2" t="s">
        <v>10</v>
      </c>
      <c r="F145" s="4" t="str">
        <f aca="false">VLOOKUP(TRIM($E145),'co-so-du-lieu-virus'!$A$2:$D$9,2,FALSE())</f>
        <v>BankStealer.X</v>
      </c>
      <c r="G145" s="4" t="str">
        <f aca="false">VLOOKUP(TRIM($E145),'co-so-du-lieu-virus'!$A$2:$D$9,3,FALSE())</f>
        <v>Trojan</v>
      </c>
      <c r="H145" s="4" t="str">
        <f aca="false">VLOOKUP(TRIM($E145),'co-so-du-lieu-virus'!$A$2:$D$9,4,FALSE())</f>
        <v>Cao</v>
      </c>
    </row>
    <row r="146" customFormat="false" ht="15" hidden="false" customHeight="false" outlineLevel="0" collapsed="false">
      <c r="A146" s="2" t="s">
        <v>313</v>
      </c>
      <c r="B146" s="3" t="n">
        <v>46304.91875</v>
      </c>
      <c r="C146" s="2" t="s">
        <v>314</v>
      </c>
      <c r="D146" s="2" t="s">
        <v>64</v>
      </c>
      <c r="E146" s="2" t="s">
        <v>14</v>
      </c>
      <c r="F146" s="4" t="str">
        <f aca="false">VLOOKUP(TRIM($E146),'co-so-du-lieu-virus'!$A$2:$D$9,2,FALSE())</f>
        <v>RemoteShell.T</v>
      </c>
      <c r="G146" s="4" t="str">
        <f aca="false">VLOOKUP(TRIM($E146),'co-so-du-lieu-virus'!$A$2:$D$9,3,FALSE())</f>
        <v>Trojan</v>
      </c>
      <c r="H146" s="4" t="str">
        <f aca="false">VLOOKUP(TRIM($E146),'co-so-du-lieu-virus'!$A$2:$D$9,4,FALSE())</f>
        <v>Cao</v>
      </c>
    </row>
    <row r="147" customFormat="false" ht="15" hidden="false" customHeight="false" outlineLevel="0" collapsed="false">
      <c r="A147" s="2" t="s">
        <v>315</v>
      </c>
      <c r="B147" s="3" t="n">
        <v>46307.8104166667</v>
      </c>
      <c r="C147" s="2" t="s">
        <v>316</v>
      </c>
      <c r="D147" s="2" t="s">
        <v>46</v>
      </c>
      <c r="E147" s="2" t="s">
        <v>317</v>
      </c>
      <c r="F147" s="4" t="str">
        <f aca="false">VLOOKUP(TRIM($E147),'co-so-du-lieu-virus'!$A$2:$D$9,2,FALSE())</f>
        <v>CryptoLock.A</v>
      </c>
      <c r="G147" s="4" t="str">
        <f aca="false">VLOOKUP(TRIM($E147),'co-so-du-lieu-virus'!$A$2:$D$9,3,FALSE())</f>
        <v>Ransomware</v>
      </c>
      <c r="H147" s="4" t="str">
        <f aca="false">VLOOKUP(TRIM($E147),'co-so-du-lieu-virus'!$A$2:$D$9,4,FALSE())</f>
        <v>Nghiêm trọng</v>
      </c>
    </row>
    <row r="148" customFormat="false" ht="15" hidden="false" customHeight="false" outlineLevel="0" collapsed="false">
      <c r="A148" s="2" t="s">
        <v>318</v>
      </c>
      <c r="B148" s="3" t="n">
        <v>46308.6645833333</v>
      </c>
      <c r="C148" s="2" t="s">
        <v>293</v>
      </c>
      <c r="D148" s="2" t="s">
        <v>46</v>
      </c>
      <c r="E148" s="2" t="s">
        <v>301</v>
      </c>
      <c r="F148" s="4" t="str">
        <f aca="false">VLOOKUP(TRIM($E148),'co-so-du-lieu-virus'!$A$2:$D$9,2,FALSE())</f>
        <v>NetCrawler</v>
      </c>
      <c r="G148" s="4" t="str">
        <f aca="false">VLOOKUP(TRIM($E148),'co-so-du-lieu-virus'!$A$2:$D$9,3,FALSE())</f>
        <v>Worm</v>
      </c>
      <c r="H148" s="4" t="str">
        <f aca="false">VLOOKUP(TRIM($E148),'co-so-du-lieu-virus'!$A$2:$D$9,4,FALSE())</f>
        <v>Cao</v>
      </c>
    </row>
    <row r="149" customFormat="false" ht="15" hidden="false" customHeight="false" outlineLevel="0" collapsed="false">
      <c r="A149" s="2" t="s">
        <v>319</v>
      </c>
      <c r="B149" s="3" t="n">
        <v>46312.9833333333</v>
      </c>
      <c r="C149" s="2" t="s">
        <v>119</v>
      </c>
      <c r="D149" s="2" t="s">
        <v>43</v>
      </c>
      <c r="E149" s="2" t="s">
        <v>320</v>
      </c>
      <c r="F149" s="4" t="str">
        <f aca="false">VLOOKUP(TRIM($E149),'co-so-du-lieu-virus'!$A$2:$D$9,2,FALSE())</f>
        <v>KeyWatch</v>
      </c>
      <c r="G149" s="4" t="str">
        <f aca="false">VLOOKUP(TRIM($E149),'co-so-du-lieu-virus'!$A$2:$D$9,3,FALSE())</f>
        <v>Spyware</v>
      </c>
      <c r="H149" s="4" t="str">
        <f aca="false">VLOOKUP(TRIM($E149),'co-so-du-lieu-virus'!$A$2:$D$9,4,FALSE())</f>
        <v>Trung bình</v>
      </c>
    </row>
    <row r="150" customFormat="false" ht="15" hidden="false" customHeight="false" outlineLevel="0" collapsed="false">
      <c r="A150" s="2" t="s">
        <v>321</v>
      </c>
      <c r="B150" s="3" t="n">
        <v>46318.5006944445</v>
      </c>
      <c r="C150" s="2" t="s">
        <v>322</v>
      </c>
      <c r="D150" s="2" t="s">
        <v>49</v>
      </c>
      <c r="E150" s="2" t="s">
        <v>10</v>
      </c>
      <c r="F150" s="4" t="str">
        <f aca="false">VLOOKUP(TRIM($E150),'co-so-du-lieu-virus'!$A$2:$D$9,2,FALSE())</f>
        <v>BankStealer.X</v>
      </c>
      <c r="G150" s="4" t="str">
        <f aca="false">VLOOKUP(TRIM($E150),'co-so-du-lieu-virus'!$A$2:$D$9,3,FALSE())</f>
        <v>Trojan</v>
      </c>
      <c r="H150" s="4" t="str">
        <f aca="false">VLOOKUP(TRIM($E150),'co-so-du-lieu-virus'!$A$2:$D$9,4,FALSE())</f>
        <v>Cao</v>
      </c>
    </row>
    <row r="151" customFormat="false" ht="15" hidden="false" customHeight="false" outlineLevel="0" collapsed="false">
      <c r="A151" s="2" t="s">
        <v>323</v>
      </c>
      <c r="B151" s="3" t="n">
        <v>46316.3569444444</v>
      </c>
      <c r="C151" s="2" t="s">
        <v>324</v>
      </c>
      <c r="D151" s="2" t="s">
        <v>34</v>
      </c>
      <c r="E151" s="2" t="s">
        <v>50</v>
      </c>
      <c r="F151" s="4" t="str">
        <f aca="false">VLOOKUP(TRIM($E151),'co-so-du-lieu-virus'!$A$2:$D$9,2,FALSE())</f>
        <v>BotHerd.M</v>
      </c>
      <c r="G151" s="4" t="str">
        <f aca="false">VLOOKUP(TRIM($E151),'co-so-du-lieu-virus'!$A$2:$D$9,3,FALSE())</f>
        <v>Botnet</v>
      </c>
      <c r="H151" s="4" t="str">
        <f aca="false">VLOOKUP(TRIM($E151),'co-so-du-lieu-virus'!$A$2:$D$9,4,FALSE())</f>
        <v>Cao</v>
      </c>
    </row>
    <row r="152" customFormat="false" ht="15" hidden="false" customHeight="false" outlineLevel="0" collapsed="false">
      <c r="A152" s="2" t="s">
        <v>325</v>
      </c>
      <c r="B152" s="3" t="n">
        <v>46316.2222222222</v>
      </c>
      <c r="C152" s="2" t="s">
        <v>316</v>
      </c>
      <c r="D152" s="2" t="s">
        <v>64</v>
      </c>
      <c r="E152" s="2" t="s">
        <v>23</v>
      </c>
      <c r="F152" s="4" t="str">
        <f aca="false">VLOOKUP(TRIM($E152),'co-so-du-lieu-virus'!$A$2:$D$9,2,FALSE())</f>
        <v>BotHerd.M</v>
      </c>
      <c r="G152" s="4" t="str">
        <f aca="false">VLOOKUP(TRIM($E152),'co-so-du-lieu-virus'!$A$2:$D$9,3,FALSE())</f>
        <v>Botnet</v>
      </c>
      <c r="H152" s="4" t="str">
        <f aca="false">VLOOKUP(TRIM($E152),'co-so-du-lieu-virus'!$A$2:$D$9,4,FALSE())</f>
        <v>Cao</v>
      </c>
    </row>
    <row r="153" customFormat="false" ht="15" hidden="false" customHeight="false" outlineLevel="0" collapsed="false">
      <c r="A153" s="2" t="s">
        <v>326</v>
      </c>
      <c r="B153" s="3" t="n">
        <v>46312.7909722222</v>
      </c>
      <c r="C153" s="2" t="s">
        <v>327</v>
      </c>
      <c r="D153" s="2" t="s">
        <v>64</v>
      </c>
      <c r="E153" s="2" t="s">
        <v>10</v>
      </c>
      <c r="F153" s="4" t="str">
        <f aca="false">VLOOKUP(TRIM($E153),'co-so-du-lieu-virus'!$A$2:$D$9,2,FALSE())</f>
        <v>BankStealer.X</v>
      </c>
      <c r="G153" s="4" t="str">
        <f aca="false">VLOOKUP(TRIM($E153),'co-so-du-lieu-virus'!$A$2:$D$9,3,FALSE())</f>
        <v>Trojan</v>
      </c>
      <c r="H153" s="4" t="str">
        <f aca="false">VLOOKUP(TRIM($E153),'co-so-du-lieu-virus'!$A$2:$D$9,4,FALSE())</f>
        <v>Cao</v>
      </c>
    </row>
    <row r="154" customFormat="false" ht="15" hidden="false" customHeight="false" outlineLevel="0" collapsed="false">
      <c r="A154" s="2" t="s">
        <v>328</v>
      </c>
      <c r="B154" s="3" t="n">
        <v>46309.2381944444</v>
      </c>
      <c r="C154" s="2" t="s">
        <v>277</v>
      </c>
      <c r="D154" s="2" t="s">
        <v>64</v>
      </c>
      <c r="E154" s="2" t="s">
        <v>23</v>
      </c>
      <c r="F154" s="4" t="str">
        <f aca="false">VLOOKUP(TRIM($E154),'co-so-du-lieu-virus'!$A$2:$D$9,2,FALSE())</f>
        <v>BotHerd.M</v>
      </c>
      <c r="G154" s="4" t="str">
        <f aca="false">VLOOKUP(TRIM($E154),'co-so-du-lieu-virus'!$A$2:$D$9,3,FALSE())</f>
        <v>Botnet</v>
      </c>
      <c r="H154" s="4" t="str">
        <f aca="false">VLOOKUP(TRIM($E154),'co-so-du-lieu-virus'!$A$2:$D$9,4,FALSE())</f>
        <v>Cao</v>
      </c>
    </row>
    <row r="155" customFormat="false" ht="15" hidden="false" customHeight="false" outlineLevel="0" collapsed="false">
      <c r="A155" s="2" t="s">
        <v>329</v>
      </c>
      <c r="B155" s="3" t="n">
        <v>46312.8048611111</v>
      </c>
      <c r="C155" s="2" t="s">
        <v>189</v>
      </c>
      <c r="D155" s="2" t="s">
        <v>46</v>
      </c>
      <c r="E155" s="2" t="s">
        <v>37</v>
      </c>
      <c r="F155" s="4" t="str">
        <f aca="false">VLOOKUP(TRIM($E155),'co-so-du-lieu-virus'!$A$2:$D$9,2,FALSE())</f>
        <v>BotHerd.M</v>
      </c>
      <c r="G155" s="4" t="str">
        <f aca="false">VLOOKUP(TRIM($E155),'co-so-du-lieu-virus'!$A$2:$D$9,3,FALSE())</f>
        <v>Botnet</v>
      </c>
      <c r="H155" s="4" t="str">
        <f aca="false">VLOOKUP(TRIM($E155),'co-so-du-lieu-virus'!$A$2:$D$9,4,FALSE())</f>
        <v>Cao</v>
      </c>
    </row>
    <row r="156" customFormat="false" ht="15" hidden="false" customHeight="false" outlineLevel="0" collapsed="false">
      <c r="A156" s="2" t="s">
        <v>330</v>
      </c>
      <c r="B156" s="3" t="n">
        <v>46320.7409722222</v>
      </c>
      <c r="C156" s="2" t="s">
        <v>331</v>
      </c>
      <c r="D156" s="2" t="s">
        <v>43</v>
      </c>
      <c r="E156" s="2" t="s">
        <v>14</v>
      </c>
      <c r="F156" s="4" t="str">
        <f aca="false">VLOOKUP(TRIM($E156),'co-so-du-lieu-virus'!$A$2:$D$9,2,FALSE())</f>
        <v>RemoteShell.T</v>
      </c>
      <c r="G156" s="4" t="str">
        <f aca="false">VLOOKUP(TRIM($E156),'co-so-du-lieu-virus'!$A$2:$D$9,3,FALSE())</f>
        <v>Trojan</v>
      </c>
      <c r="H156" s="4" t="str">
        <f aca="false">VLOOKUP(TRIM($E156),'co-so-du-lieu-virus'!$A$2:$D$9,4,FALSE())</f>
        <v>Cao</v>
      </c>
    </row>
    <row r="157" customFormat="false" ht="15" hidden="false" customHeight="false" outlineLevel="0" collapsed="false">
      <c r="A157" s="2" t="s">
        <v>332</v>
      </c>
      <c r="B157" s="3" t="n">
        <v>46317.0944444445</v>
      </c>
      <c r="C157" s="2" t="s">
        <v>333</v>
      </c>
      <c r="D157" s="2" t="s">
        <v>46</v>
      </c>
      <c r="E157" s="2" t="s">
        <v>16</v>
      </c>
      <c r="F157" s="4" t="str">
        <f aca="false">VLOOKUP(TRIM($E157),'co-so-du-lieu-virus'!$A$2:$D$9,2,FALSE())</f>
        <v>NetCrawler</v>
      </c>
      <c r="G157" s="4" t="str">
        <f aca="false">VLOOKUP(TRIM($E157),'co-so-du-lieu-virus'!$A$2:$D$9,3,FALSE())</f>
        <v>Worm</v>
      </c>
      <c r="H157" s="4" t="str">
        <f aca="false">VLOOKUP(TRIM($E157),'co-so-du-lieu-virus'!$A$2:$D$9,4,FALSE())</f>
        <v>Cao</v>
      </c>
    </row>
    <row r="158" customFormat="false" ht="15" hidden="false" customHeight="false" outlineLevel="0" collapsed="false">
      <c r="A158" s="2" t="s">
        <v>334</v>
      </c>
      <c r="B158" s="3" t="n">
        <v>46299.7180555556</v>
      </c>
      <c r="C158" s="2" t="s">
        <v>261</v>
      </c>
      <c r="D158" s="2" t="s">
        <v>71</v>
      </c>
      <c r="E158" s="2" t="s">
        <v>4</v>
      </c>
      <c r="F158" s="4" t="str">
        <f aca="false">VLOOKUP(TRIM($E158),'co-so-du-lieu-virus'!$A$2:$D$9,2,FALSE())</f>
        <v>CryptoLock.A</v>
      </c>
      <c r="G158" s="4" t="str">
        <f aca="false">VLOOKUP(TRIM($E158),'co-so-du-lieu-virus'!$A$2:$D$9,3,FALSE())</f>
        <v>Ransomware</v>
      </c>
      <c r="H158" s="4" t="str">
        <f aca="false">VLOOKUP(TRIM($E158),'co-so-du-lieu-virus'!$A$2:$D$9,4,FALSE())</f>
        <v>Nghiêm trọng</v>
      </c>
    </row>
    <row r="159" customFormat="false" ht="15" hidden="false" customHeight="false" outlineLevel="0" collapsed="false">
      <c r="A159" s="2" t="s">
        <v>335</v>
      </c>
      <c r="B159" s="3" t="n">
        <v>46310.925</v>
      </c>
      <c r="C159" s="2" t="s">
        <v>243</v>
      </c>
      <c r="D159" s="2" t="s">
        <v>49</v>
      </c>
      <c r="E159" s="2" t="s">
        <v>14</v>
      </c>
      <c r="F159" s="4" t="str">
        <f aca="false">VLOOKUP(TRIM($E159),'co-so-du-lieu-virus'!$A$2:$D$9,2,FALSE())</f>
        <v>RemoteShell.T</v>
      </c>
      <c r="G159" s="4" t="str">
        <f aca="false">VLOOKUP(TRIM($E159),'co-so-du-lieu-virus'!$A$2:$D$9,3,FALSE())</f>
        <v>Trojan</v>
      </c>
      <c r="H159" s="4" t="str">
        <f aca="false">VLOOKUP(TRIM($E159),'co-so-du-lieu-virus'!$A$2:$D$9,4,FALSE())</f>
        <v>Cao</v>
      </c>
    </row>
    <row r="160" customFormat="false" ht="15" hidden="false" customHeight="false" outlineLevel="0" collapsed="false">
      <c r="A160" s="2" t="s">
        <v>336</v>
      </c>
      <c r="B160" s="3" t="n">
        <v>46310.8847222222</v>
      </c>
      <c r="C160" s="2" t="s">
        <v>337</v>
      </c>
      <c r="D160" s="2" t="s">
        <v>46</v>
      </c>
      <c r="E160" s="2" t="s">
        <v>10</v>
      </c>
      <c r="F160" s="4" t="str">
        <f aca="false">VLOOKUP(TRIM($E160),'co-so-du-lieu-virus'!$A$2:$D$9,2,FALSE())</f>
        <v>BankStealer.X</v>
      </c>
      <c r="G160" s="4" t="str">
        <f aca="false">VLOOKUP(TRIM($E160),'co-so-du-lieu-virus'!$A$2:$D$9,3,FALSE())</f>
        <v>Trojan</v>
      </c>
      <c r="H160" s="4" t="str">
        <f aca="false">VLOOKUP(TRIM($E160),'co-so-du-lieu-virus'!$A$2:$D$9,4,FALSE())</f>
        <v>Cao</v>
      </c>
    </row>
    <row r="161" customFormat="false" ht="15" hidden="false" customHeight="false" outlineLevel="0" collapsed="false">
      <c r="A161" s="2" t="s">
        <v>338</v>
      </c>
      <c r="B161" s="3" t="n">
        <v>46308.70625</v>
      </c>
      <c r="C161" s="2" t="s">
        <v>52</v>
      </c>
      <c r="D161" s="2" t="s">
        <v>34</v>
      </c>
      <c r="E161" s="2" t="s">
        <v>10</v>
      </c>
      <c r="F161" s="4" t="str">
        <f aca="false">VLOOKUP(TRIM($E161),'co-so-du-lieu-virus'!$A$2:$D$9,2,FALSE())</f>
        <v>BankStealer.X</v>
      </c>
      <c r="G161" s="4" t="str">
        <f aca="false">VLOOKUP(TRIM($E161),'co-so-du-lieu-virus'!$A$2:$D$9,3,FALSE())</f>
        <v>Trojan</v>
      </c>
      <c r="H161" s="4" t="str">
        <f aca="false">VLOOKUP(TRIM($E161),'co-so-du-lieu-virus'!$A$2:$D$9,4,FALSE())</f>
        <v>Cao</v>
      </c>
    </row>
    <row r="162" customFormat="false" ht="15" hidden="false" customHeight="false" outlineLevel="0" collapsed="false">
      <c r="A162" s="2" t="s">
        <v>339</v>
      </c>
      <c r="B162" s="3" t="n">
        <v>46310.4548611111</v>
      </c>
      <c r="C162" s="2" t="s">
        <v>340</v>
      </c>
      <c r="D162" s="2" t="s">
        <v>43</v>
      </c>
      <c r="E162" s="2" t="s">
        <v>23</v>
      </c>
      <c r="F162" s="4" t="str">
        <f aca="false">VLOOKUP(TRIM($E162),'co-so-du-lieu-virus'!$A$2:$D$9,2,FALSE())</f>
        <v>BotHerd.M</v>
      </c>
      <c r="G162" s="4" t="str">
        <f aca="false">VLOOKUP(TRIM($E162),'co-so-du-lieu-virus'!$A$2:$D$9,3,FALSE())</f>
        <v>Botnet</v>
      </c>
      <c r="H162" s="4" t="str">
        <f aca="false">VLOOKUP(TRIM($E162),'co-so-du-lieu-virus'!$A$2:$D$9,4,FALSE())</f>
        <v>Cao</v>
      </c>
    </row>
    <row r="163" customFormat="false" ht="15" hidden="false" customHeight="false" outlineLevel="0" collapsed="false">
      <c r="A163" s="2" t="s">
        <v>341</v>
      </c>
      <c r="B163" s="3" t="n">
        <v>46319.4909722222</v>
      </c>
      <c r="C163" s="2" t="s">
        <v>342</v>
      </c>
      <c r="D163" s="2" t="s">
        <v>46</v>
      </c>
      <c r="E163" s="2" t="s">
        <v>26</v>
      </c>
      <c r="F163" s="4" t="str">
        <f aca="false">VLOOKUP(TRIM($E163),'co-so-du-lieu-virus'!$A$2:$D$9,2,FALSE())</f>
        <v>KeyWatch</v>
      </c>
      <c r="G163" s="4" t="str">
        <f aca="false">VLOOKUP(TRIM($E163),'co-so-du-lieu-virus'!$A$2:$D$9,3,FALSE())</f>
        <v>Spyware</v>
      </c>
      <c r="H163" s="4" t="str">
        <f aca="false">VLOOKUP(TRIM($E163),'co-so-du-lieu-virus'!$A$2:$D$9,4,FALSE())</f>
        <v>Trung bình</v>
      </c>
    </row>
    <row r="164" customFormat="false" ht="15" hidden="false" customHeight="false" outlineLevel="0" collapsed="false">
      <c r="A164" s="2" t="s">
        <v>343</v>
      </c>
      <c r="B164" s="3" t="n">
        <v>46312.5347222222</v>
      </c>
      <c r="C164" s="2" t="s">
        <v>157</v>
      </c>
      <c r="D164" s="2" t="s">
        <v>43</v>
      </c>
      <c r="E164" s="2" t="s">
        <v>10</v>
      </c>
      <c r="F164" s="4" t="str">
        <f aca="false">VLOOKUP(TRIM($E164),'co-so-du-lieu-virus'!$A$2:$D$9,2,FALSE())</f>
        <v>BankStealer.X</v>
      </c>
      <c r="G164" s="4" t="str">
        <f aca="false">VLOOKUP(TRIM($E164),'co-so-du-lieu-virus'!$A$2:$D$9,3,FALSE())</f>
        <v>Trojan</v>
      </c>
      <c r="H164" s="4" t="str">
        <f aca="false">VLOOKUP(TRIM($E164),'co-so-du-lieu-virus'!$A$2:$D$9,4,FALSE())</f>
        <v>Cao</v>
      </c>
    </row>
    <row r="165" customFormat="false" ht="15" hidden="false" customHeight="false" outlineLevel="0" collapsed="false">
      <c r="A165" s="2" t="s">
        <v>344</v>
      </c>
      <c r="B165" s="3" t="n">
        <v>46321.6590277778</v>
      </c>
      <c r="C165" s="2" t="s">
        <v>139</v>
      </c>
      <c r="D165" s="2" t="s">
        <v>43</v>
      </c>
      <c r="E165" s="2" t="s">
        <v>16</v>
      </c>
      <c r="F165" s="4" t="str">
        <f aca="false">VLOOKUP(TRIM($E165),'co-so-du-lieu-virus'!$A$2:$D$9,2,FALSE())</f>
        <v>NetCrawler</v>
      </c>
      <c r="G165" s="4" t="str">
        <f aca="false">VLOOKUP(TRIM($E165),'co-so-du-lieu-virus'!$A$2:$D$9,3,FALSE())</f>
        <v>Worm</v>
      </c>
      <c r="H165" s="4" t="str">
        <f aca="false">VLOOKUP(TRIM($E165),'co-so-du-lieu-virus'!$A$2:$D$9,4,FALSE())</f>
        <v>Cao</v>
      </c>
    </row>
    <row r="166" customFormat="false" ht="15" hidden="false" customHeight="false" outlineLevel="0" collapsed="false">
      <c r="A166" s="2" t="s">
        <v>345</v>
      </c>
      <c r="B166" s="3" t="n">
        <v>46321.6125</v>
      </c>
      <c r="C166" s="2" t="s">
        <v>75</v>
      </c>
      <c r="D166" s="2" t="s">
        <v>49</v>
      </c>
      <c r="E166" s="2" t="s">
        <v>16</v>
      </c>
      <c r="F166" s="4" t="str">
        <f aca="false">VLOOKUP(TRIM($E166),'co-so-du-lieu-virus'!$A$2:$D$9,2,FALSE())</f>
        <v>NetCrawler</v>
      </c>
      <c r="G166" s="4" t="str">
        <f aca="false">VLOOKUP(TRIM($E166),'co-so-du-lieu-virus'!$A$2:$D$9,3,FALSE())</f>
        <v>Worm</v>
      </c>
      <c r="H166" s="4" t="str">
        <f aca="false">VLOOKUP(TRIM($E166),'co-so-du-lieu-virus'!$A$2:$D$9,4,FALSE())</f>
        <v>Cao</v>
      </c>
    </row>
    <row r="167" customFormat="false" ht="15" hidden="false" customHeight="false" outlineLevel="0" collapsed="false">
      <c r="A167" s="2" t="s">
        <v>346</v>
      </c>
      <c r="B167" s="3" t="n">
        <v>46308.8090277778</v>
      </c>
      <c r="C167" s="2" t="s">
        <v>324</v>
      </c>
      <c r="D167" s="2" t="s">
        <v>46</v>
      </c>
      <c r="E167" s="2" t="s">
        <v>4</v>
      </c>
      <c r="F167" s="4" t="str">
        <f aca="false">VLOOKUP(TRIM($E167),'co-so-du-lieu-virus'!$A$2:$D$9,2,FALSE())</f>
        <v>CryptoLock.A</v>
      </c>
      <c r="G167" s="4" t="str">
        <f aca="false">VLOOKUP(TRIM($E167),'co-so-du-lieu-virus'!$A$2:$D$9,3,FALSE())</f>
        <v>Ransomware</v>
      </c>
      <c r="H167" s="4" t="str">
        <f aca="false">VLOOKUP(TRIM($E167),'co-so-du-lieu-virus'!$A$2:$D$9,4,FALSE())</f>
        <v>Nghiêm trọng</v>
      </c>
    </row>
    <row r="168" customFormat="false" ht="15" hidden="false" customHeight="false" outlineLevel="0" collapsed="false">
      <c r="A168" s="2" t="s">
        <v>347</v>
      </c>
      <c r="B168" s="3" t="n">
        <v>46321.8256944444</v>
      </c>
      <c r="C168" s="2" t="s">
        <v>103</v>
      </c>
      <c r="D168" s="2" t="s">
        <v>46</v>
      </c>
      <c r="E168" s="2" t="s">
        <v>89</v>
      </c>
      <c r="F168" s="4" t="str">
        <f aca="false">VLOOKUP(TRIM($E168),'co-so-du-lieu-virus'!$A$2:$D$9,2,FALSE())</f>
        <v>BankStealer.X</v>
      </c>
      <c r="G168" s="4" t="str">
        <f aca="false">VLOOKUP(TRIM($E168),'co-so-du-lieu-virus'!$A$2:$D$9,3,FALSE())</f>
        <v>Trojan</v>
      </c>
      <c r="H168" s="4" t="str">
        <f aca="false">VLOOKUP(TRIM($E168),'co-so-du-lieu-virus'!$A$2:$D$9,4,FALSE())</f>
        <v>Cao</v>
      </c>
    </row>
    <row r="169" customFormat="false" ht="15" hidden="false" customHeight="false" outlineLevel="0" collapsed="false">
      <c r="A169" s="2" t="s">
        <v>348</v>
      </c>
      <c r="B169" s="3" t="n">
        <v>46298.9152777778</v>
      </c>
      <c r="C169" s="2" t="s">
        <v>189</v>
      </c>
      <c r="D169" s="2" t="s">
        <v>34</v>
      </c>
      <c r="E169" s="2" t="s">
        <v>16</v>
      </c>
      <c r="F169" s="4" t="str">
        <f aca="false">VLOOKUP(TRIM($E169),'co-so-du-lieu-virus'!$A$2:$D$9,2,FALSE())</f>
        <v>NetCrawler</v>
      </c>
      <c r="G169" s="4" t="str">
        <f aca="false">VLOOKUP(TRIM($E169),'co-so-du-lieu-virus'!$A$2:$D$9,3,FALSE())</f>
        <v>Worm</v>
      </c>
      <c r="H169" s="4" t="str">
        <f aca="false">VLOOKUP(TRIM($E169),'co-so-du-lieu-virus'!$A$2:$D$9,4,FALSE())</f>
        <v>Cao</v>
      </c>
    </row>
    <row r="170" customFormat="false" ht="15" hidden="false" customHeight="false" outlineLevel="0" collapsed="false">
      <c r="A170" s="2" t="s">
        <v>349</v>
      </c>
      <c r="B170" s="3" t="n">
        <v>46311.2243055556</v>
      </c>
      <c r="C170" s="2" t="s">
        <v>130</v>
      </c>
      <c r="D170" s="2" t="s">
        <v>71</v>
      </c>
      <c r="E170" s="2" t="s">
        <v>10</v>
      </c>
      <c r="F170" s="4" t="str">
        <f aca="false">VLOOKUP(TRIM($E170),'co-so-du-lieu-virus'!$A$2:$D$9,2,FALSE())</f>
        <v>BankStealer.X</v>
      </c>
      <c r="G170" s="4" t="str">
        <f aca="false">VLOOKUP(TRIM($E170),'co-so-du-lieu-virus'!$A$2:$D$9,3,FALSE())</f>
        <v>Trojan</v>
      </c>
      <c r="H170" s="4" t="str">
        <f aca="false">VLOOKUP(TRIM($E170),'co-so-du-lieu-virus'!$A$2:$D$9,4,FALSE())</f>
        <v>Cao</v>
      </c>
    </row>
    <row r="171" customFormat="false" ht="15" hidden="false" customHeight="false" outlineLevel="0" collapsed="false">
      <c r="A171" s="2" t="s">
        <v>350</v>
      </c>
      <c r="B171" s="3" t="n">
        <v>46299.8541666667</v>
      </c>
      <c r="C171" s="2" t="s">
        <v>351</v>
      </c>
      <c r="D171" s="2" t="s">
        <v>64</v>
      </c>
      <c r="E171" s="2" t="s">
        <v>19</v>
      </c>
      <c r="F171" s="4" t="str">
        <f aca="false">VLOOKUP(TRIM($E171),'co-so-du-lieu-virus'!$A$2:$D$9,2,FALSE())</f>
        <v>SilentSpy</v>
      </c>
      <c r="G171" s="4" t="str">
        <f aca="false">VLOOKUP(TRIM($E171),'co-so-du-lieu-virus'!$A$2:$D$9,3,FALSE())</f>
        <v>Spyware</v>
      </c>
      <c r="H171" s="4" t="str">
        <f aca="false">VLOOKUP(TRIM($E171),'co-so-du-lieu-virus'!$A$2:$D$9,4,FALSE())</f>
        <v>Trung bình</v>
      </c>
    </row>
    <row r="172" customFormat="false" ht="15" hidden="false" customHeight="false" outlineLevel="0" collapsed="false">
      <c r="A172" s="2" t="s">
        <v>352</v>
      </c>
      <c r="B172" s="3" t="n">
        <v>46315.2076388889</v>
      </c>
      <c r="C172" s="2" t="s">
        <v>353</v>
      </c>
      <c r="D172" s="2" t="s">
        <v>64</v>
      </c>
      <c r="E172" s="2" t="s">
        <v>301</v>
      </c>
      <c r="F172" s="4" t="str">
        <f aca="false">VLOOKUP(TRIM($E172),'co-so-du-lieu-virus'!$A$2:$D$9,2,FALSE())</f>
        <v>NetCrawler</v>
      </c>
      <c r="G172" s="4" t="str">
        <f aca="false">VLOOKUP(TRIM($E172),'co-so-du-lieu-virus'!$A$2:$D$9,3,FALSE())</f>
        <v>Worm</v>
      </c>
      <c r="H172" s="4" t="str">
        <f aca="false">VLOOKUP(TRIM($E172),'co-so-du-lieu-virus'!$A$2:$D$9,4,FALSE())</f>
        <v>Cao</v>
      </c>
    </row>
    <row r="173" customFormat="false" ht="15" hidden="false" customHeight="false" outlineLevel="0" collapsed="false">
      <c r="A173" s="2" t="s">
        <v>354</v>
      </c>
      <c r="B173" s="3" t="n">
        <v>46319.7361111111</v>
      </c>
      <c r="C173" s="2" t="s">
        <v>355</v>
      </c>
      <c r="D173" s="2" t="s">
        <v>43</v>
      </c>
      <c r="E173" s="2" t="s">
        <v>10</v>
      </c>
      <c r="F173" s="4" t="str">
        <f aca="false">VLOOKUP(TRIM($E173),'co-so-du-lieu-virus'!$A$2:$D$9,2,FALSE())</f>
        <v>BankStealer.X</v>
      </c>
      <c r="G173" s="4" t="str">
        <f aca="false">VLOOKUP(TRIM($E173),'co-so-du-lieu-virus'!$A$2:$D$9,3,FALSE())</f>
        <v>Trojan</v>
      </c>
      <c r="H173" s="4" t="str">
        <f aca="false">VLOOKUP(TRIM($E173),'co-so-du-lieu-virus'!$A$2:$D$9,4,FALSE())</f>
        <v>Cao</v>
      </c>
    </row>
    <row r="174" customFormat="false" ht="15" hidden="false" customHeight="false" outlineLevel="0" collapsed="false">
      <c r="A174" s="2" t="s">
        <v>356</v>
      </c>
      <c r="B174" s="3" t="n">
        <v>46311.1534722222</v>
      </c>
      <c r="C174" s="2" t="s">
        <v>357</v>
      </c>
      <c r="D174" s="2" t="s">
        <v>49</v>
      </c>
      <c r="E174" s="2" t="s">
        <v>10</v>
      </c>
      <c r="F174" s="4" t="str">
        <f aca="false">VLOOKUP(TRIM($E174),'co-so-du-lieu-virus'!$A$2:$D$9,2,FALSE())</f>
        <v>BankStealer.X</v>
      </c>
      <c r="G174" s="4" t="str">
        <f aca="false">VLOOKUP(TRIM($E174),'co-so-du-lieu-virus'!$A$2:$D$9,3,FALSE())</f>
        <v>Trojan</v>
      </c>
      <c r="H174" s="4" t="str">
        <f aca="false">VLOOKUP(TRIM($E174),'co-so-du-lieu-virus'!$A$2:$D$9,4,FALSE())</f>
        <v>Cao</v>
      </c>
    </row>
    <row r="175" customFormat="false" ht="15" hidden="false" customHeight="false" outlineLevel="0" collapsed="false">
      <c r="A175" s="2" t="s">
        <v>358</v>
      </c>
      <c r="B175" s="3" t="n">
        <v>46299.2979166667</v>
      </c>
      <c r="C175" s="2" t="s">
        <v>359</v>
      </c>
      <c r="D175" s="2" t="s">
        <v>34</v>
      </c>
      <c r="E175" s="2" t="s">
        <v>14</v>
      </c>
      <c r="F175" s="4" t="str">
        <f aca="false">VLOOKUP(TRIM($E175),'co-so-du-lieu-virus'!$A$2:$D$9,2,FALSE())</f>
        <v>RemoteShell.T</v>
      </c>
      <c r="G175" s="4" t="str">
        <f aca="false">VLOOKUP(TRIM($E175),'co-so-du-lieu-virus'!$A$2:$D$9,3,FALSE())</f>
        <v>Trojan</v>
      </c>
      <c r="H175" s="4" t="str">
        <f aca="false">VLOOKUP(TRIM($E175),'co-so-du-lieu-virus'!$A$2:$D$9,4,FALSE())</f>
        <v>Cao</v>
      </c>
    </row>
    <row r="176" customFormat="false" ht="15" hidden="false" customHeight="false" outlineLevel="0" collapsed="false">
      <c r="A176" s="2" t="s">
        <v>360</v>
      </c>
      <c r="B176" s="3" t="n">
        <v>46311.8902777778</v>
      </c>
      <c r="C176" s="2" t="s">
        <v>361</v>
      </c>
      <c r="D176" s="2" t="s">
        <v>46</v>
      </c>
      <c r="E176" s="2" t="s">
        <v>26</v>
      </c>
      <c r="F176" s="4" t="str">
        <f aca="false">VLOOKUP(TRIM($E176),'co-so-du-lieu-virus'!$A$2:$D$9,2,FALSE())</f>
        <v>KeyWatch</v>
      </c>
      <c r="G176" s="4" t="str">
        <f aca="false">VLOOKUP(TRIM($E176),'co-so-du-lieu-virus'!$A$2:$D$9,3,FALSE())</f>
        <v>Spyware</v>
      </c>
      <c r="H176" s="4" t="str">
        <f aca="false">VLOOKUP(TRIM($E176),'co-so-du-lieu-virus'!$A$2:$D$9,4,FALSE())</f>
        <v>Trung bình</v>
      </c>
    </row>
    <row r="177" customFormat="false" ht="15" hidden="false" customHeight="false" outlineLevel="0" collapsed="false">
      <c r="A177" s="2" t="s">
        <v>362</v>
      </c>
      <c r="B177" s="3" t="n">
        <v>46317.1465277778</v>
      </c>
      <c r="C177" s="2" t="s">
        <v>91</v>
      </c>
      <c r="D177" s="2" t="s">
        <v>34</v>
      </c>
      <c r="E177" s="2" t="s">
        <v>23</v>
      </c>
      <c r="F177" s="4" t="str">
        <f aca="false">VLOOKUP(TRIM($E177),'co-so-du-lieu-virus'!$A$2:$D$9,2,FALSE())</f>
        <v>BotHerd.M</v>
      </c>
      <c r="G177" s="4" t="str">
        <f aca="false">VLOOKUP(TRIM($E177),'co-so-du-lieu-virus'!$A$2:$D$9,3,FALSE())</f>
        <v>Botnet</v>
      </c>
      <c r="H177" s="4" t="str">
        <f aca="false">VLOOKUP(TRIM($E177),'co-so-du-lieu-virus'!$A$2:$D$9,4,FALSE())</f>
        <v>Cao</v>
      </c>
    </row>
    <row r="178" customFormat="false" ht="15" hidden="false" customHeight="false" outlineLevel="0" collapsed="false">
      <c r="A178" s="2" t="s">
        <v>363</v>
      </c>
      <c r="B178" s="3" t="n">
        <v>46296.4618055556</v>
      </c>
      <c r="C178" s="2" t="s">
        <v>364</v>
      </c>
      <c r="D178" s="2" t="s">
        <v>46</v>
      </c>
      <c r="E178" s="2" t="s">
        <v>16</v>
      </c>
      <c r="F178" s="4" t="str">
        <f aca="false">VLOOKUP(TRIM($E178),'co-so-du-lieu-virus'!$A$2:$D$9,2,FALSE())</f>
        <v>NetCrawler</v>
      </c>
      <c r="G178" s="4" t="str">
        <f aca="false">VLOOKUP(TRIM($E178),'co-so-du-lieu-virus'!$A$2:$D$9,3,FALSE())</f>
        <v>Worm</v>
      </c>
      <c r="H178" s="4" t="str">
        <f aca="false">VLOOKUP(TRIM($E178),'co-so-du-lieu-virus'!$A$2:$D$9,4,FALSE())</f>
        <v>Cao</v>
      </c>
    </row>
    <row r="179" customFormat="false" ht="15" hidden="false" customHeight="false" outlineLevel="0" collapsed="false">
      <c r="A179" s="2" t="s">
        <v>365</v>
      </c>
      <c r="B179" s="3" t="n">
        <v>46302.6527777778</v>
      </c>
      <c r="C179" s="2" t="s">
        <v>353</v>
      </c>
      <c r="D179" s="2" t="s">
        <v>64</v>
      </c>
      <c r="E179" s="2" t="s">
        <v>14</v>
      </c>
      <c r="F179" s="4" t="str">
        <f aca="false">VLOOKUP(TRIM($E179),'co-so-du-lieu-virus'!$A$2:$D$9,2,FALSE())</f>
        <v>RemoteShell.T</v>
      </c>
      <c r="G179" s="4" t="str">
        <f aca="false">VLOOKUP(TRIM($E179),'co-so-du-lieu-virus'!$A$2:$D$9,3,FALSE())</f>
        <v>Trojan</v>
      </c>
      <c r="H179" s="4" t="str">
        <f aca="false">VLOOKUP(TRIM($E179),'co-so-du-lieu-virus'!$A$2:$D$9,4,FALSE())</f>
        <v>Cao</v>
      </c>
    </row>
    <row r="180" customFormat="false" ht="15" hidden="false" customHeight="false" outlineLevel="0" collapsed="false">
      <c r="A180" s="2" t="s">
        <v>366</v>
      </c>
      <c r="B180" s="3" t="n">
        <v>46303.6298611111</v>
      </c>
      <c r="C180" s="2" t="s">
        <v>155</v>
      </c>
      <c r="D180" s="2" t="s">
        <v>49</v>
      </c>
      <c r="E180" s="2" t="s">
        <v>8</v>
      </c>
      <c r="F180" s="4" t="str">
        <f aca="false">VLOOKUP(TRIM($E180),'co-so-du-lieu-virus'!$A$2:$D$9,2,FALSE())</f>
        <v>NightLocker</v>
      </c>
      <c r="G180" s="4" t="str">
        <f aca="false">VLOOKUP(TRIM($E180),'co-so-du-lieu-virus'!$A$2:$D$9,3,FALSE())</f>
        <v>Ransomware</v>
      </c>
      <c r="H180" s="4" t="str">
        <f aca="false">VLOOKUP(TRIM($E180),'co-so-du-lieu-virus'!$A$2:$D$9,4,FALSE())</f>
        <v>Nghiêm trọng</v>
      </c>
    </row>
    <row r="181" customFormat="false" ht="15" hidden="false" customHeight="false" outlineLevel="0" collapsed="false">
      <c r="A181" s="2" t="s">
        <v>367</v>
      </c>
      <c r="B181" s="3" t="n">
        <v>46308.4715277778</v>
      </c>
      <c r="C181" s="2" t="s">
        <v>368</v>
      </c>
      <c r="D181" s="2" t="s">
        <v>46</v>
      </c>
      <c r="E181" s="2" t="s">
        <v>10</v>
      </c>
      <c r="F181" s="4" t="str">
        <f aca="false">VLOOKUP(TRIM($E181),'co-so-du-lieu-virus'!$A$2:$D$9,2,FALSE())</f>
        <v>BankStealer.X</v>
      </c>
      <c r="G181" s="4" t="str">
        <f aca="false">VLOOKUP(TRIM($E181),'co-so-du-lieu-virus'!$A$2:$D$9,3,FALSE())</f>
        <v>Trojan</v>
      </c>
      <c r="H181" s="4" t="str">
        <f aca="false">VLOOKUP(TRIM($E181),'co-so-du-lieu-virus'!$A$2:$D$9,4,FALSE())</f>
        <v>Cao</v>
      </c>
    </row>
    <row r="182" customFormat="false" ht="15" hidden="false" customHeight="false" outlineLevel="0" collapsed="false">
      <c r="A182" s="2" t="s">
        <v>369</v>
      </c>
      <c r="B182" s="3" t="n">
        <v>46309.8125</v>
      </c>
      <c r="C182" s="2" t="s">
        <v>370</v>
      </c>
      <c r="D182" s="2" t="s">
        <v>49</v>
      </c>
      <c r="E182" s="2" t="s">
        <v>14</v>
      </c>
      <c r="F182" s="4" t="str">
        <f aca="false">VLOOKUP(TRIM($E182),'co-so-du-lieu-virus'!$A$2:$D$9,2,FALSE())</f>
        <v>RemoteShell.T</v>
      </c>
      <c r="G182" s="4" t="str">
        <f aca="false">VLOOKUP(TRIM($E182),'co-so-du-lieu-virus'!$A$2:$D$9,3,FALSE())</f>
        <v>Trojan</v>
      </c>
      <c r="H182" s="4" t="str">
        <f aca="false">VLOOKUP(TRIM($E182),'co-so-du-lieu-virus'!$A$2:$D$9,4,FALSE())</f>
        <v>Cao</v>
      </c>
    </row>
    <row r="183" customFormat="false" ht="15" hidden="false" customHeight="false" outlineLevel="0" collapsed="false">
      <c r="A183" s="2" t="s">
        <v>371</v>
      </c>
      <c r="B183" s="3" t="n">
        <v>46316.8784722222</v>
      </c>
      <c r="C183" s="2" t="s">
        <v>159</v>
      </c>
      <c r="D183" s="2" t="s">
        <v>34</v>
      </c>
      <c r="E183" s="2" t="s">
        <v>289</v>
      </c>
      <c r="F183" s="4" t="str">
        <f aca="false">VLOOKUP(TRIM($E183),'co-so-du-lieu-virus'!$A$2:$D$9,2,FALSE())</f>
        <v>SilentSpy</v>
      </c>
      <c r="G183" s="4" t="str">
        <f aca="false">VLOOKUP(TRIM($E183),'co-so-du-lieu-virus'!$A$2:$D$9,3,FALSE())</f>
        <v>Spyware</v>
      </c>
      <c r="H183" s="4" t="str">
        <f aca="false">VLOOKUP(TRIM($E183),'co-so-du-lieu-virus'!$A$2:$D$9,4,FALSE())</f>
        <v>Trung bình</v>
      </c>
    </row>
    <row r="184" customFormat="false" ht="15" hidden="false" customHeight="false" outlineLevel="0" collapsed="false">
      <c r="A184" s="2" t="s">
        <v>372</v>
      </c>
      <c r="B184" s="3" t="n">
        <v>46310.2243055556</v>
      </c>
      <c r="C184" s="2" t="s">
        <v>373</v>
      </c>
      <c r="D184" s="2" t="s">
        <v>49</v>
      </c>
      <c r="E184" s="2" t="s">
        <v>14</v>
      </c>
      <c r="F184" s="4" t="str">
        <f aca="false">VLOOKUP(TRIM($E184),'co-so-du-lieu-virus'!$A$2:$D$9,2,FALSE())</f>
        <v>RemoteShell.T</v>
      </c>
      <c r="G184" s="4" t="str">
        <f aca="false">VLOOKUP(TRIM($E184),'co-so-du-lieu-virus'!$A$2:$D$9,3,FALSE())</f>
        <v>Trojan</v>
      </c>
      <c r="H184" s="4" t="str">
        <f aca="false">VLOOKUP(TRIM($E184),'co-so-du-lieu-virus'!$A$2:$D$9,4,FALSE())</f>
        <v>Cao</v>
      </c>
    </row>
    <row r="185" customFormat="false" ht="15" hidden="false" customHeight="false" outlineLevel="0" collapsed="false">
      <c r="A185" s="2" t="s">
        <v>374</v>
      </c>
      <c r="B185" s="3" t="n">
        <v>46306.7131944444</v>
      </c>
      <c r="C185" s="2" t="s">
        <v>305</v>
      </c>
      <c r="D185" s="2" t="s">
        <v>64</v>
      </c>
      <c r="E185" s="2" t="s">
        <v>10</v>
      </c>
      <c r="F185" s="4" t="str">
        <f aca="false">VLOOKUP(TRIM($E185),'co-so-du-lieu-virus'!$A$2:$D$9,2,FALSE())</f>
        <v>BankStealer.X</v>
      </c>
      <c r="G185" s="4" t="str">
        <f aca="false">VLOOKUP(TRIM($E185),'co-so-du-lieu-virus'!$A$2:$D$9,3,FALSE())</f>
        <v>Trojan</v>
      </c>
      <c r="H185" s="4" t="str">
        <f aca="false">VLOOKUP(TRIM($E185),'co-so-du-lieu-virus'!$A$2:$D$9,4,FALSE())</f>
        <v>Cao</v>
      </c>
    </row>
    <row r="186" customFormat="false" ht="15" hidden="false" customHeight="false" outlineLevel="0" collapsed="false">
      <c r="A186" s="2" t="s">
        <v>375</v>
      </c>
      <c r="B186" s="3" t="n">
        <v>46316.1131944444</v>
      </c>
      <c r="C186" s="2" t="s">
        <v>376</v>
      </c>
      <c r="D186" s="2" t="s">
        <v>71</v>
      </c>
      <c r="E186" s="2" t="s">
        <v>14</v>
      </c>
      <c r="F186" s="4" t="str">
        <f aca="false">VLOOKUP(TRIM($E186),'co-so-du-lieu-virus'!$A$2:$D$9,2,FALSE())</f>
        <v>RemoteShell.T</v>
      </c>
      <c r="G186" s="4" t="str">
        <f aca="false">VLOOKUP(TRIM($E186),'co-so-du-lieu-virus'!$A$2:$D$9,3,FALSE())</f>
        <v>Trojan</v>
      </c>
      <c r="H186" s="4" t="str">
        <f aca="false">VLOOKUP(TRIM($E186),'co-so-du-lieu-virus'!$A$2:$D$9,4,FALSE())</f>
        <v>Cao</v>
      </c>
    </row>
    <row r="187" customFormat="false" ht="15" hidden="false" customHeight="false" outlineLevel="0" collapsed="false">
      <c r="A187" s="2" t="s">
        <v>377</v>
      </c>
      <c r="B187" s="3" t="n">
        <v>46310.1868055556</v>
      </c>
      <c r="C187" s="2" t="s">
        <v>378</v>
      </c>
      <c r="D187" s="2" t="s">
        <v>34</v>
      </c>
      <c r="E187" s="2" t="s">
        <v>14</v>
      </c>
      <c r="F187" s="4" t="str">
        <f aca="false">VLOOKUP(TRIM($E187),'co-so-du-lieu-virus'!$A$2:$D$9,2,FALSE())</f>
        <v>RemoteShell.T</v>
      </c>
      <c r="G187" s="4" t="str">
        <f aca="false">VLOOKUP(TRIM($E187),'co-so-du-lieu-virus'!$A$2:$D$9,3,FALSE())</f>
        <v>Trojan</v>
      </c>
      <c r="H187" s="4" t="str">
        <f aca="false">VLOOKUP(TRIM($E187),'co-so-du-lieu-virus'!$A$2:$D$9,4,FALSE())</f>
        <v>Cao</v>
      </c>
    </row>
    <row r="188" customFormat="false" ht="15" hidden="false" customHeight="false" outlineLevel="0" collapsed="false">
      <c r="A188" s="2" t="s">
        <v>379</v>
      </c>
      <c r="B188" s="3" t="n">
        <v>46307.8534722222</v>
      </c>
      <c r="C188" s="2" t="s">
        <v>380</v>
      </c>
      <c r="D188" s="2" t="s">
        <v>43</v>
      </c>
      <c r="E188" s="2" t="s">
        <v>26</v>
      </c>
      <c r="F188" s="4" t="str">
        <f aca="false">VLOOKUP(TRIM($E188),'co-so-du-lieu-virus'!$A$2:$D$9,2,FALSE())</f>
        <v>KeyWatch</v>
      </c>
      <c r="G188" s="4" t="str">
        <f aca="false">VLOOKUP(TRIM($E188),'co-so-du-lieu-virus'!$A$2:$D$9,3,FALSE())</f>
        <v>Spyware</v>
      </c>
      <c r="H188" s="4" t="str">
        <f aca="false">VLOOKUP(TRIM($E188),'co-so-du-lieu-virus'!$A$2:$D$9,4,FALSE())</f>
        <v>Trung bình</v>
      </c>
    </row>
    <row r="189" customFormat="false" ht="15" hidden="false" customHeight="false" outlineLevel="0" collapsed="false">
      <c r="A189" s="2" t="s">
        <v>381</v>
      </c>
      <c r="B189" s="3" t="n">
        <v>46320.9104166667</v>
      </c>
      <c r="C189" s="2" t="s">
        <v>382</v>
      </c>
      <c r="D189" s="2" t="s">
        <v>46</v>
      </c>
      <c r="E189" s="2" t="s">
        <v>26</v>
      </c>
      <c r="F189" s="4" t="str">
        <f aca="false">VLOOKUP(TRIM($E189),'co-so-du-lieu-virus'!$A$2:$D$9,2,FALSE())</f>
        <v>KeyWatch</v>
      </c>
      <c r="G189" s="4" t="str">
        <f aca="false">VLOOKUP(TRIM($E189),'co-so-du-lieu-virus'!$A$2:$D$9,3,FALSE())</f>
        <v>Spyware</v>
      </c>
      <c r="H189" s="4" t="str">
        <f aca="false">VLOOKUP(TRIM($E189),'co-so-du-lieu-virus'!$A$2:$D$9,4,FALSE())</f>
        <v>Trung bình</v>
      </c>
    </row>
    <row r="190" customFormat="false" ht="15" hidden="false" customHeight="false" outlineLevel="0" collapsed="false">
      <c r="A190" s="2" t="s">
        <v>383</v>
      </c>
      <c r="B190" s="3" t="n">
        <v>46298.2618055556</v>
      </c>
      <c r="C190" s="2" t="s">
        <v>267</v>
      </c>
      <c r="D190" s="2" t="s">
        <v>49</v>
      </c>
      <c r="E190" s="2" t="s">
        <v>14</v>
      </c>
      <c r="F190" s="4" t="str">
        <f aca="false">VLOOKUP(TRIM($E190),'co-so-du-lieu-virus'!$A$2:$D$9,2,FALSE())</f>
        <v>RemoteShell.T</v>
      </c>
      <c r="G190" s="4" t="str">
        <f aca="false">VLOOKUP(TRIM($E190),'co-so-du-lieu-virus'!$A$2:$D$9,3,FALSE())</f>
        <v>Trojan</v>
      </c>
      <c r="H190" s="4" t="str">
        <f aca="false">VLOOKUP(TRIM($E190),'co-so-du-lieu-virus'!$A$2:$D$9,4,FALSE())</f>
        <v>Cao</v>
      </c>
    </row>
    <row r="191" customFormat="false" ht="15" hidden="false" customHeight="false" outlineLevel="0" collapsed="false">
      <c r="A191" s="2" t="s">
        <v>384</v>
      </c>
      <c r="B191" s="3" t="n">
        <v>46320.0104166667</v>
      </c>
      <c r="C191" s="2" t="s">
        <v>124</v>
      </c>
      <c r="D191" s="2" t="s">
        <v>34</v>
      </c>
      <c r="E191" s="2" t="s">
        <v>23</v>
      </c>
      <c r="F191" s="4" t="str">
        <f aca="false">VLOOKUP(TRIM($E191),'co-so-du-lieu-virus'!$A$2:$D$9,2,FALSE())</f>
        <v>BotHerd.M</v>
      </c>
      <c r="G191" s="4" t="str">
        <f aca="false">VLOOKUP(TRIM($E191),'co-so-du-lieu-virus'!$A$2:$D$9,3,FALSE())</f>
        <v>Botnet</v>
      </c>
      <c r="H191" s="4" t="str">
        <f aca="false">VLOOKUP(TRIM($E191),'co-so-du-lieu-virus'!$A$2:$D$9,4,FALSE())</f>
        <v>Cao</v>
      </c>
    </row>
    <row r="192" customFormat="false" ht="15" hidden="false" customHeight="false" outlineLevel="0" collapsed="false">
      <c r="A192" s="2" t="s">
        <v>385</v>
      </c>
      <c r="B192" s="3" t="n">
        <v>46298.6361111111</v>
      </c>
      <c r="C192" s="2" t="s">
        <v>113</v>
      </c>
      <c r="D192" s="2" t="s">
        <v>49</v>
      </c>
      <c r="E192" s="2" t="s">
        <v>19</v>
      </c>
      <c r="F192" s="4" t="str">
        <f aca="false">VLOOKUP(TRIM($E192),'co-so-du-lieu-virus'!$A$2:$D$9,2,FALSE())</f>
        <v>SilentSpy</v>
      </c>
      <c r="G192" s="4" t="str">
        <f aca="false">VLOOKUP(TRIM($E192),'co-so-du-lieu-virus'!$A$2:$D$9,3,FALSE())</f>
        <v>Spyware</v>
      </c>
      <c r="H192" s="4" t="str">
        <f aca="false">VLOOKUP(TRIM($E192),'co-so-du-lieu-virus'!$A$2:$D$9,4,FALSE())</f>
        <v>Trung bình</v>
      </c>
    </row>
    <row r="193" customFormat="false" ht="15" hidden="false" customHeight="false" outlineLevel="0" collapsed="false">
      <c r="A193" s="2" t="s">
        <v>386</v>
      </c>
      <c r="B193" s="3" t="n">
        <v>46312.9097222222</v>
      </c>
      <c r="C193" s="2" t="s">
        <v>33</v>
      </c>
      <c r="D193" s="2" t="s">
        <v>49</v>
      </c>
      <c r="E193" s="2" t="s">
        <v>23</v>
      </c>
      <c r="F193" s="4" t="str">
        <f aca="false">VLOOKUP(TRIM($E193),'co-so-du-lieu-virus'!$A$2:$D$9,2,FALSE())</f>
        <v>BotHerd.M</v>
      </c>
      <c r="G193" s="4" t="str">
        <f aca="false">VLOOKUP(TRIM($E193),'co-so-du-lieu-virus'!$A$2:$D$9,3,FALSE())</f>
        <v>Botnet</v>
      </c>
      <c r="H193" s="4" t="str">
        <f aca="false">VLOOKUP(TRIM($E193),'co-so-du-lieu-virus'!$A$2:$D$9,4,FALSE())</f>
        <v>Cao</v>
      </c>
    </row>
    <row r="194" customFormat="false" ht="15" hidden="false" customHeight="false" outlineLevel="0" collapsed="false">
      <c r="A194" s="2" t="s">
        <v>387</v>
      </c>
      <c r="B194" s="3" t="n">
        <v>46303.1583333333</v>
      </c>
      <c r="C194" s="2" t="s">
        <v>388</v>
      </c>
      <c r="D194" s="2" t="s">
        <v>49</v>
      </c>
      <c r="E194" s="2" t="s">
        <v>19</v>
      </c>
      <c r="F194" s="4" t="str">
        <f aca="false">VLOOKUP(TRIM($E194),'co-so-du-lieu-virus'!$A$2:$D$9,2,FALSE())</f>
        <v>SilentSpy</v>
      </c>
      <c r="G194" s="4" t="str">
        <f aca="false">VLOOKUP(TRIM($E194),'co-so-du-lieu-virus'!$A$2:$D$9,3,FALSE())</f>
        <v>Spyware</v>
      </c>
      <c r="H194" s="4" t="str">
        <f aca="false">VLOOKUP(TRIM($E194),'co-so-du-lieu-virus'!$A$2:$D$9,4,FALSE())</f>
        <v>Trung bình</v>
      </c>
    </row>
    <row r="195" customFormat="false" ht="15" hidden="false" customHeight="false" outlineLevel="0" collapsed="false">
      <c r="A195" s="2" t="s">
        <v>389</v>
      </c>
      <c r="B195" s="3" t="n">
        <v>46301.9666666667</v>
      </c>
      <c r="C195" s="2" t="s">
        <v>390</v>
      </c>
      <c r="D195" s="2" t="s">
        <v>64</v>
      </c>
      <c r="E195" s="2" t="s">
        <v>294</v>
      </c>
      <c r="F195" s="4" t="str">
        <f aca="false">VLOOKUP(TRIM($E195),'co-so-du-lieu-virus'!$A$2:$D$9,2,FALSE())</f>
        <v>SilentSpy</v>
      </c>
      <c r="G195" s="4" t="str">
        <f aca="false">VLOOKUP(TRIM($E195),'co-so-du-lieu-virus'!$A$2:$D$9,3,FALSE())</f>
        <v>Spyware</v>
      </c>
      <c r="H195" s="4" t="str">
        <f aca="false">VLOOKUP(TRIM($E195),'co-so-du-lieu-virus'!$A$2:$D$9,4,FALSE())</f>
        <v>Trung bình</v>
      </c>
    </row>
    <row r="196" customFormat="false" ht="15" hidden="false" customHeight="false" outlineLevel="0" collapsed="false">
      <c r="A196" s="2" t="s">
        <v>391</v>
      </c>
      <c r="B196" s="3" t="n">
        <v>46320.3291666667</v>
      </c>
      <c r="C196" s="2" t="s">
        <v>392</v>
      </c>
      <c r="D196" s="2" t="s">
        <v>49</v>
      </c>
      <c r="E196" s="2" t="s">
        <v>26</v>
      </c>
      <c r="F196" s="4" t="str">
        <f aca="false">VLOOKUP(TRIM($E196),'co-so-du-lieu-virus'!$A$2:$D$9,2,FALSE())</f>
        <v>KeyWatch</v>
      </c>
      <c r="G196" s="4" t="str">
        <f aca="false">VLOOKUP(TRIM($E196),'co-so-du-lieu-virus'!$A$2:$D$9,3,FALSE())</f>
        <v>Spyware</v>
      </c>
      <c r="H196" s="4" t="str">
        <f aca="false">VLOOKUP(TRIM($E196),'co-so-du-lieu-virus'!$A$2:$D$9,4,FALSE())</f>
        <v>Trung bình</v>
      </c>
    </row>
    <row r="197" customFormat="false" ht="15" hidden="false" customHeight="false" outlineLevel="0" collapsed="false">
      <c r="A197" s="2" t="s">
        <v>393</v>
      </c>
      <c r="B197" s="3" t="n">
        <v>46302.7819444445</v>
      </c>
      <c r="C197" s="2" t="s">
        <v>394</v>
      </c>
      <c r="D197" s="2" t="s">
        <v>49</v>
      </c>
      <c r="E197" s="2" t="s">
        <v>252</v>
      </c>
      <c r="F197" s="4" t="str">
        <f aca="false">VLOOKUP(TRIM($E197),'co-so-du-lieu-virus'!$A$2:$D$9,2,FALSE())</f>
        <v>NetCrawler</v>
      </c>
      <c r="G197" s="4" t="str">
        <f aca="false">VLOOKUP(TRIM($E197),'co-so-du-lieu-virus'!$A$2:$D$9,3,FALSE())</f>
        <v>Worm</v>
      </c>
      <c r="H197" s="4" t="str">
        <f aca="false">VLOOKUP(TRIM($E197),'co-so-du-lieu-virus'!$A$2:$D$9,4,FALSE())</f>
        <v>Cao</v>
      </c>
    </row>
    <row r="198" customFormat="false" ht="15" hidden="false" customHeight="false" outlineLevel="0" collapsed="false">
      <c r="A198" s="2" t="s">
        <v>395</v>
      </c>
      <c r="B198" s="3" t="n">
        <v>46320.0270833333</v>
      </c>
      <c r="C198" s="2" t="s">
        <v>234</v>
      </c>
      <c r="D198" s="2" t="s">
        <v>43</v>
      </c>
      <c r="E198" s="2" t="s">
        <v>4</v>
      </c>
      <c r="F198" s="4" t="str">
        <f aca="false">VLOOKUP(TRIM($E198),'co-so-du-lieu-virus'!$A$2:$D$9,2,FALSE())</f>
        <v>CryptoLock.A</v>
      </c>
      <c r="G198" s="4" t="str">
        <f aca="false">VLOOKUP(TRIM($E198),'co-so-du-lieu-virus'!$A$2:$D$9,3,FALSE())</f>
        <v>Ransomware</v>
      </c>
      <c r="H198" s="4" t="str">
        <f aca="false">VLOOKUP(TRIM($E198),'co-so-du-lieu-virus'!$A$2:$D$9,4,FALSE())</f>
        <v>Nghiêm trọng</v>
      </c>
    </row>
    <row r="199" customFormat="false" ht="15" hidden="false" customHeight="false" outlineLevel="0" collapsed="false">
      <c r="A199" s="2" t="s">
        <v>396</v>
      </c>
      <c r="B199" s="3" t="n">
        <v>46320.7305555556</v>
      </c>
      <c r="C199" s="2" t="s">
        <v>397</v>
      </c>
      <c r="D199" s="2" t="s">
        <v>34</v>
      </c>
      <c r="E199" s="2" t="s">
        <v>294</v>
      </c>
      <c r="F199" s="4" t="str">
        <f aca="false">VLOOKUP(TRIM($E199),'co-so-du-lieu-virus'!$A$2:$D$9,2,FALSE())</f>
        <v>SilentSpy</v>
      </c>
      <c r="G199" s="4" t="str">
        <f aca="false">VLOOKUP(TRIM($E199),'co-so-du-lieu-virus'!$A$2:$D$9,3,FALSE())</f>
        <v>Spyware</v>
      </c>
      <c r="H199" s="4" t="str">
        <f aca="false">VLOOKUP(TRIM($E199),'co-so-du-lieu-virus'!$A$2:$D$9,4,FALSE())</f>
        <v>Trung bình</v>
      </c>
    </row>
    <row r="200" customFormat="false" ht="15" hidden="false" customHeight="false" outlineLevel="0" collapsed="false">
      <c r="A200" s="2" t="s">
        <v>398</v>
      </c>
      <c r="B200" s="3" t="n">
        <v>46314.9763888889</v>
      </c>
      <c r="C200" s="2" t="s">
        <v>399</v>
      </c>
      <c r="D200" s="2" t="s">
        <v>64</v>
      </c>
      <c r="E200" s="2" t="s">
        <v>10</v>
      </c>
      <c r="F200" s="4" t="str">
        <f aca="false">VLOOKUP(TRIM($E200),'co-so-du-lieu-virus'!$A$2:$D$9,2,FALSE())</f>
        <v>BankStealer.X</v>
      </c>
      <c r="G200" s="4" t="str">
        <f aca="false">VLOOKUP(TRIM($E200),'co-so-du-lieu-virus'!$A$2:$D$9,3,FALSE())</f>
        <v>Trojan</v>
      </c>
      <c r="H200" s="4" t="str">
        <f aca="false">VLOOKUP(TRIM($E200),'co-so-du-lieu-virus'!$A$2:$D$9,4,FALSE())</f>
        <v>Cao</v>
      </c>
    </row>
    <row r="201" customFormat="false" ht="15" hidden="false" customHeight="false" outlineLevel="0" collapsed="false">
      <c r="A201" s="2" t="s">
        <v>400</v>
      </c>
      <c r="B201" s="3" t="n">
        <v>46305.4847222222</v>
      </c>
      <c r="C201" s="2" t="s">
        <v>215</v>
      </c>
      <c r="D201" s="2" t="s">
        <v>34</v>
      </c>
      <c r="E201" s="2" t="s">
        <v>4</v>
      </c>
      <c r="F201" s="4" t="str">
        <f aca="false">VLOOKUP(TRIM($E201),'co-so-du-lieu-virus'!$A$2:$D$9,2,FALSE())</f>
        <v>CryptoLock.A</v>
      </c>
      <c r="G201" s="4" t="str">
        <f aca="false">VLOOKUP(TRIM($E201),'co-so-du-lieu-virus'!$A$2:$D$9,3,FALSE())</f>
        <v>Ransomware</v>
      </c>
      <c r="H201" s="4" t="str">
        <f aca="false">VLOOKUP(TRIM($E201),'co-so-du-lieu-virus'!$A$2:$D$9,4,FALSE())</f>
        <v>Nghiêm trọng</v>
      </c>
    </row>
    <row r="202" customFormat="false" ht="15" hidden="false" customHeight="false" outlineLevel="0" collapsed="false">
      <c r="A202" s="2" t="s">
        <v>401</v>
      </c>
      <c r="B202" s="3" t="n">
        <v>46310.1722222222</v>
      </c>
      <c r="C202" s="2" t="s">
        <v>58</v>
      </c>
      <c r="D202" s="2" t="s">
        <v>71</v>
      </c>
      <c r="E202" s="2" t="s">
        <v>14</v>
      </c>
      <c r="F202" s="4" t="str">
        <f aca="false">VLOOKUP(TRIM($E202),'co-so-du-lieu-virus'!$A$2:$D$9,2,FALSE())</f>
        <v>RemoteShell.T</v>
      </c>
      <c r="G202" s="4" t="str">
        <f aca="false">VLOOKUP(TRIM($E202),'co-so-du-lieu-virus'!$A$2:$D$9,3,FALSE())</f>
        <v>Trojan</v>
      </c>
      <c r="H202" s="4" t="str">
        <f aca="false">VLOOKUP(TRIM($E202),'co-so-du-lieu-virus'!$A$2:$D$9,4,FALSE())</f>
        <v>Cao</v>
      </c>
    </row>
    <row r="203" customFormat="false" ht="15" hidden="false" customHeight="false" outlineLevel="0" collapsed="false">
      <c r="A203" s="2" t="s">
        <v>402</v>
      </c>
      <c r="B203" s="3" t="n">
        <v>46317.2638888889</v>
      </c>
      <c r="C203" s="2" t="s">
        <v>403</v>
      </c>
      <c r="D203" s="2" t="s">
        <v>64</v>
      </c>
      <c r="E203" s="2" t="s">
        <v>14</v>
      </c>
      <c r="F203" s="4" t="str">
        <f aca="false">VLOOKUP(TRIM($E203),'co-so-du-lieu-virus'!$A$2:$D$9,2,FALSE())</f>
        <v>RemoteShell.T</v>
      </c>
      <c r="G203" s="4" t="str">
        <f aca="false">VLOOKUP(TRIM($E203),'co-so-du-lieu-virus'!$A$2:$D$9,3,FALSE())</f>
        <v>Trojan</v>
      </c>
      <c r="H203" s="4" t="str">
        <f aca="false">VLOOKUP(TRIM($E203),'co-so-du-lieu-virus'!$A$2:$D$9,4,FALSE())</f>
        <v>Cao</v>
      </c>
    </row>
    <row r="204" customFormat="false" ht="15" hidden="false" customHeight="false" outlineLevel="0" collapsed="false">
      <c r="A204" s="2" t="s">
        <v>404</v>
      </c>
      <c r="B204" s="3" t="n">
        <v>46300.8125</v>
      </c>
      <c r="C204" s="2" t="s">
        <v>403</v>
      </c>
      <c r="D204" s="2" t="s">
        <v>43</v>
      </c>
      <c r="E204" s="2" t="s">
        <v>405</v>
      </c>
      <c r="F204" s="4" t="str">
        <f aca="false">VLOOKUP(TRIM($E204),'co-so-du-lieu-virus'!$A$2:$D$9,2,FALSE())</f>
        <v>CryptoLock.A</v>
      </c>
      <c r="G204" s="4" t="str">
        <f aca="false">VLOOKUP(TRIM($E204),'co-so-du-lieu-virus'!$A$2:$D$9,3,FALSE())</f>
        <v>Ransomware</v>
      </c>
      <c r="H204" s="4" t="str">
        <f aca="false">VLOOKUP(TRIM($E204),'co-so-du-lieu-virus'!$A$2:$D$9,4,FALSE())</f>
        <v>Nghiêm trọng</v>
      </c>
    </row>
    <row r="205" customFormat="false" ht="15" hidden="false" customHeight="false" outlineLevel="0" collapsed="false">
      <c r="A205" s="2" t="s">
        <v>406</v>
      </c>
      <c r="B205" s="3" t="n">
        <v>46301.5472222222</v>
      </c>
      <c r="C205" s="2" t="s">
        <v>407</v>
      </c>
      <c r="D205" s="2" t="s">
        <v>43</v>
      </c>
      <c r="E205" s="2" t="s">
        <v>16</v>
      </c>
      <c r="F205" s="4" t="str">
        <f aca="false">VLOOKUP(TRIM($E205),'co-so-du-lieu-virus'!$A$2:$D$9,2,FALSE())</f>
        <v>NetCrawler</v>
      </c>
      <c r="G205" s="4" t="str">
        <f aca="false">VLOOKUP(TRIM($E205),'co-so-du-lieu-virus'!$A$2:$D$9,3,FALSE())</f>
        <v>Worm</v>
      </c>
      <c r="H205" s="4" t="str">
        <f aca="false">VLOOKUP(TRIM($E205),'co-so-du-lieu-virus'!$A$2:$D$9,4,FALSE())</f>
        <v>Cao</v>
      </c>
    </row>
    <row r="206" customFormat="false" ht="15" hidden="false" customHeight="false" outlineLevel="0" collapsed="false">
      <c r="A206" s="2" t="s">
        <v>408</v>
      </c>
      <c r="B206" s="3" t="n">
        <v>46317.6291666667</v>
      </c>
      <c r="C206" s="2" t="s">
        <v>409</v>
      </c>
      <c r="D206" s="2" t="s">
        <v>71</v>
      </c>
      <c r="E206" s="2" t="s">
        <v>4</v>
      </c>
      <c r="F206" s="4" t="str">
        <f aca="false">VLOOKUP(TRIM($E206),'co-so-du-lieu-virus'!$A$2:$D$9,2,FALSE())</f>
        <v>CryptoLock.A</v>
      </c>
      <c r="G206" s="4" t="str">
        <f aca="false">VLOOKUP(TRIM($E206),'co-so-du-lieu-virus'!$A$2:$D$9,3,FALSE())</f>
        <v>Ransomware</v>
      </c>
      <c r="H206" s="4" t="str">
        <f aca="false">VLOOKUP(TRIM($E206),'co-so-du-lieu-virus'!$A$2:$D$9,4,FALSE())</f>
        <v>Nghiêm trọng</v>
      </c>
    </row>
    <row r="207" customFormat="false" ht="15" hidden="false" customHeight="false" outlineLevel="0" collapsed="false">
      <c r="A207" s="2" t="s">
        <v>410</v>
      </c>
      <c r="B207" s="3" t="n">
        <v>46296.4763888889</v>
      </c>
      <c r="C207" s="2" t="s">
        <v>397</v>
      </c>
      <c r="D207" s="2" t="s">
        <v>64</v>
      </c>
      <c r="E207" s="2" t="s">
        <v>16</v>
      </c>
      <c r="F207" s="4" t="str">
        <f aca="false">VLOOKUP(TRIM($E207),'co-so-du-lieu-virus'!$A$2:$D$9,2,FALSE())</f>
        <v>NetCrawler</v>
      </c>
      <c r="G207" s="4" t="str">
        <f aca="false">VLOOKUP(TRIM($E207),'co-so-du-lieu-virus'!$A$2:$D$9,3,FALSE())</f>
        <v>Worm</v>
      </c>
      <c r="H207" s="4" t="str">
        <f aca="false">VLOOKUP(TRIM($E207),'co-so-du-lieu-virus'!$A$2:$D$9,4,FALSE())</f>
        <v>Cao</v>
      </c>
    </row>
    <row r="208" customFormat="false" ht="15" hidden="false" customHeight="false" outlineLevel="0" collapsed="false">
      <c r="A208" s="2" t="s">
        <v>411</v>
      </c>
      <c r="B208" s="3" t="n">
        <v>46309.2159722222</v>
      </c>
      <c r="C208" s="2" t="s">
        <v>378</v>
      </c>
      <c r="D208" s="2" t="s">
        <v>43</v>
      </c>
      <c r="E208" s="2" t="s">
        <v>10</v>
      </c>
      <c r="F208" s="4" t="str">
        <f aca="false">VLOOKUP(TRIM($E208),'co-so-du-lieu-virus'!$A$2:$D$9,2,FALSE())</f>
        <v>BankStealer.X</v>
      </c>
      <c r="G208" s="4" t="str">
        <f aca="false">VLOOKUP(TRIM($E208),'co-so-du-lieu-virus'!$A$2:$D$9,3,FALSE())</f>
        <v>Trojan</v>
      </c>
      <c r="H208" s="4" t="str">
        <f aca="false">VLOOKUP(TRIM($E208),'co-so-du-lieu-virus'!$A$2:$D$9,4,FALSE())</f>
        <v>Cao</v>
      </c>
    </row>
    <row r="209" customFormat="false" ht="15" hidden="false" customHeight="false" outlineLevel="0" collapsed="false">
      <c r="A209" s="2" t="s">
        <v>412</v>
      </c>
      <c r="B209" s="3" t="n">
        <v>46311.3548611111</v>
      </c>
      <c r="C209" s="2" t="s">
        <v>413</v>
      </c>
      <c r="D209" s="2" t="s">
        <v>43</v>
      </c>
      <c r="E209" s="2" t="s">
        <v>26</v>
      </c>
      <c r="F209" s="4" t="str">
        <f aca="false">VLOOKUP(TRIM($E209),'co-so-du-lieu-virus'!$A$2:$D$9,2,FALSE())</f>
        <v>KeyWatch</v>
      </c>
      <c r="G209" s="4" t="str">
        <f aca="false">VLOOKUP(TRIM($E209),'co-so-du-lieu-virus'!$A$2:$D$9,3,FALSE())</f>
        <v>Spyware</v>
      </c>
      <c r="H209" s="4" t="str">
        <f aca="false">VLOOKUP(TRIM($E209),'co-so-du-lieu-virus'!$A$2:$D$9,4,FALSE())</f>
        <v>Trung bình</v>
      </c>
    </row>
    <row r="210" customFormat="false" ht="15" hidden="false" customHeight="false" outlineLevel="0" collapsed="false">
      <c r="A210" s="2" t="s">
        <v>414</v>
      </c>
      <c r="B210" s="3" t="n">
        <v>46305.0993055556</v>
      </c>
      <c r="C210" s="2" t="s">
        <v>172</v>
      </c>
      <c r="D210" s="2" t="s">
        <v>64</v>
      </c>
      <c r="E210" s="2" t="s">
        <v>252</v>
      </c>
      <c r="F210" s="4" t="str">
        <f aca="false">VLOOKUP(TRIM($E210),'co-so-du-lieu-virus'!$A$2:$D$9,2,FALSE())</f>
        <v>NetCrawler</v>
      </c>
      <c r="G210" s="4" t="str">
        <f aca="false">VLOOKUP(TRIM($E210),'co-so-du-lieu-virus'!$A$2:$D$9,3,FALSE())</f>
        <v>Worm</v>
      </c>
      <c r="H210" s="4" t="str">
        <f aca="false">VLOOKUP(TRIM($E210),'co-so-du-lieu-virus'!$A$2:$D$9,4,FALSE())</f>
        <v>Cao</v>
      </c>
    </row>
    <row r="211" customFormat="false" ht="15" hidden="false" customHeight="false" outlineLevel="0" collapsed="false">
      <c r="A211" s="2" t="s">
        <v>415</v>
      </c>
      <c r="B211" s="3" t="n">
        <v>46308.4611111111</v>
      </c>
      <c r="C211" s="2" t="s">
        <v>68</v>
      </c>
      <c r="D211" s="2" t="s">
        <v>43</v>
      </c>
      <c r="E211" s="2" t="s">
        <v>8</v>
      </c>
      <c r="F211" s="4" t="str">
        <f aca="false">VLOOKUP(TRIM($E211),'co-so-du-lieu-virus'!$A$2:$D$9,2,FALSE())</f>
        <v>NightLocker</v>
      </c>
      <c r="G211" s="4" t="str">
        <f aca="false">VLOOKUP(TRIM($E211),'co-so-du-lieu-virus'!$A$2:$D$9,3,FALSE())</f>
        <v>Ransomware</v>
      </c>
      <c r="H211" s="4" t="str">
        <f aca="false">VLOOKUP(TRIM($E211),'co-so-du-lieu-virus'!$A$2:$D$9,4,FALSE())</f>
        <v>Nghiêm trọng</v>
      </c>
    </row>
    <row r="212" customFormat="false" ht="15" hidden="false" customHeight="false" outlineLevel="0" collapsed="false">
      <c r="A212" s="2" t="s">
        <v>416</v>
      </c>
      <c r="B212" s="3" t="n">
        <v>46313.4048611111</v>
      </c>
      <c r="C212" s="2" t="s">
        <v>39</v>
      </c>
      <c r="D212" s="2" t="s">
        <v>46</v>
      </c>
      <c r="E212" s="2" t="s">
        <v>19</v>
      </c>
      <c r="F212" s="4" t="str">
        <f aca="false">VLOOKUP(TRIM($E212),'co-so-du-lieu-virus'!$A$2:$D$9,2,FALSE())</f>
        <v>SilentSpy</v>
      </c>
      <c r="G212" s="4" t="str">
        <f aca="false">VLOOKUP(TRIM($E212),'co-so-du-lieu-virus'!$A$2:$D$9,3,FALSE())</f>
        <v>Spyware</v>
      </c>
      <c r="H212" s="4" t="str">
        <f aca="false">VLOOKUP(TRIM($E212),'co-so-du-lieu-virus'!$A$2:$D$9,4,FALSE())</f>
        <v>Trung bình</v>
      </c>
    </row>
    <row r="213" customFormat="false" ht="15" hidden="false" customHeight="false" outlineLevel="0" collapsed="false">
      <c r="A213" s="2" t="s">
        <v>417</v>
      </c>
      <c r="B213" s="3" t="n">
        <v>46304.1569444445</v>
      </c>
      <c r="C213" s="2" t="s">
        <v>93</v>
      </c>
      <c r="D213" s="2" t="s">
        <v>49</v>
      </c>
      <c r="E213" s="2" t="s">
        <v>418</v>
      </c>
      <c r="F213" s="4" t="str">
        <f aca="false">VLOOKUP(TRIM($E213),'co-so-du-lieu-virus'!$A$2:$D$9,2,FALSE())</f>
        <v>NightLocker</v>
      </c>
      <c r="G213" s="4" t="str">
        <f aca="false">VLOOKUP(TRIM($E213),'co-so-du-lieu-virus'!$A$2:$D$9,3,FALSE())</f>
        <v>Ransomware</v>
      </c>
      <c r="H213" s="4" t="str">
        <f aca="false">VLOOKUP(TRIM($E213),'co-so-du-lieu-virus'!$A$2:$D$9,4,FALSE())</f>
        <v>Nghiêm trọng</v>
      </c>
    </row>
    <row r="214" customFormat="false" ht="15" hidden="false" customHeight="false" outlineLevel="0" collapsed="false">
      <c r="A214" s="2" t="s">
        <v>419</v>
      </c>
      <c r="B214" s="3" t="n">
        <v>46300.1</v>
      </c>
      <c r="C214" s="2" t="s">
        <v>420</v>
      </c>
      <c r="D214" s="2" t="s">
        <v>49</v>
      </c>
      <c r="E214" s="2" t="s">
        <v>14</v>
      </c>
      <c r="F214" s="4" t="str">
        <f aca="false">VLOOKUP(TRIM($E214),'co-so-du-lieu-virus'!$A$2:$D$9,2,FALSE())</f>
        <v>RemoteShell.T</v>
      </c>
      <c r="G214" s="4" t="str">
        <f aca="false">VLOOKUP(TRIM($E214),'co-so-du-lieu-virus'!$A$2:$D$9,3,FALSE())</f>
        <v>Trojan</v>
      </c>
      <c r="H214" s="4" t="str">
        <f aca="false">VLOOKUP(TRIM($E214),'co-so-du-lieu-virus'!$A$2:$D$9,4,FALSE())</f>
        <v>Cao</v>
      </c>
    </row>
    <row r="215" customFormat="false" ht="15" hidden="false" customHeight="false" outlineLevel="0" collapsed="false">
      <c r="A215" s="2" t="s">
        <v>421</v>
      </c>
      <c r="B215" s="3" t="n">
        <v>46315.7430555556</v>
      </c>
      <c r="C215" s="2" t="s">
        <v>56</v>
      </c>
      <c r="D215" s="2" t="s">
        <v>46</v>
      </c>
      <c r="E215" s="2" t="s">
        <v>4</v>
      </c>
      <c r="F215" s="4" t="str">
        <f aca="false">VLOOKUP(TRIM($E215),'co-so-du-lieu-virus'!$A$2:$D$9,2,FALSE())</f>
        <v>CryptoLock.A</v>
      </c>
      <c r="G215" s="4" t="str">
        <f aca="false">VLOOKUP(TRIM($E215),'co-so-du-lieu-virus'!$A$2:$D$9,3,FALSE())</f>
        <v>Ransomware</v>
      </c>
      <c r="H215" s="4" t="str">
        <f aca="false">VLOOKUP(TRIM($E215),'co-so-du-lieu-virus'!$A$2:$D$9,4,FALSE())</f>
        <v>Nghiêm trọng</v>
      </c>
    </row>
    <row r="216" customFormat="false" ht="15" hidden="false" customHeight="false" outlineLevel="0" collapsed="false">
      <c r="A216" s="2" t="s">
        <v>422</v>
      </c>
      <c r="B216" s="3" t="n">
        <v>46319.28125</v>
      </c>
      <c r="C216" s="2" t="s">
        <v>423</v>
      </c>
      <c r="D216" s="2" t="s">
        <v>64</v>
      </c>
      <c r="E216" s="2" t="s">
        <v>10</v>
      </c>
      <c r="F216" s="4" t="str">
        <f aca="false">VLOOKUP(TRIM($E216),'co-so-du-lieu-virus'!$A$2:$D$9,2,FALSE())</f>
        <v>BankStealer.X</v>
      </c>
      <c r="G216" s="4" t="str">
        <f aca="false">VLOOKUP(TRIM($E216),'co-so-du-lieu-virus'!$A$2:$D$9,3,FALSE())</f>
        <v>Trojan</v>
      </c>
      <c r="H216" s="4" t="str">
        <f aca="false">VLOOKUP(TRIM($E216),'co-so-du-lieu-virus'!$A$2:$D$9,4,FALSE())</f>
        <v>Cao</v>
      </c>
    </row>
    <row r="217" customFormat="false" ht="15" hidden="false" customHeight="false" outlineLevel="0" collapsed="false">
      <c r="A217" s="2" t="s">
        <v>424</v>
      </c>
      <c r="B217" s="3" t="n">
        <v>46313.5645833333</v>
      </c>
      <c r="C217" s="2" t="s">
        <v>119</v>
      </c>
      <c r="D217" s="2" t="s">
        <v>71</v>
      </c>
      <c r="E217" s="2" t="s">
        <v>259</v>
      </c>
      <c r="F217" s="4" t="str">
        <f aca="false">VLOOKUP(TRIM($E217),'co-so-du-lieu-virus'!$A$2:$D$9,2,FALSE())</f>
        <v>BankStealer.X</v>
      </c>
      <c r="G217" s="4" t="str">
        <f aca="false">VLOOKUP(TRIM($E217),'co-so-du-lieu-virus'!$A$2:$D$9,3,FALSE())</f>
        <v>Trojan</v>
      </c>
      <c r="H217" s="4" t="str">
        <f aca="false">VLOOKUP(TRIM($E217),'co-so-du-lieu-virus'!$A$2:$D$9,4,FALSE())</f>
        <v>Cao</v>
      </c>
    </row>
    <row r="218" customFormat="false" ht="15" hidden="false" customHeight="false" outlineLevel="0" collapsed="false">
      <c r="A218" s="2" t="s">
        <v>425</v>
      </c>
      <c r="B218" s="3" t="n">
        <v>46314.2361111111</v>
      </c>
      <c r="C218" s="2" t="s">
        <v>426</v>
      </c>
      <c r="D218" s="2" t="s">
        <v>64</v>
      </c>
      <c r="E218" s="2" t="s">
        <v>26</v>
      </c>
      <c r="F218" s="4" t="str">
        <f aca="false">VLOOKUP(TRIM($E218),'co-so-du-lieu-virus'!$A$2:$D$9,2,FALSE())</f>
        <v>KeyWatch</v>
      </c>
      <c r="G218" s="4" t="str">
        <f aca="false">VLOOKUP(TRIM($E218),'co-so-du-lieu-virus'!$A$2:$D$9,3,FALSE())</f>
        <v>Spyware</v>
      </c>
      <c r="H218" s="4" t="str">
        <f aca="false">VLOOKUP(TRIM($E218),'co-so-du-lieu-virus'!$A$2:$D$9,4,FALSE())</f>
        <v>Trung bình</v>
      </c>
    </row>
    <row r="219" customFormat="false" ht="15" hidden="false" customHeight="false" outlineLevel="0" collapsed="false">
      <c r="A219" s="2" t="s">
        <v>427</v>
      </c>
      <c r="B219" s="3" t="n">
        <v>46307.1520833333</v>
      </c>
      <c r="C219" s="2" t="s">
        <v>286</v>
      </c>
      <c r="D219" s="2" t="s">
        <v>34</v>
      </c>
      <c r="E219" s="2" t="s">
        <v>10</v>
      </c>
      <c r="F219" s="4" t="str">
        <f aca="false">VLOOKUP(TRIM($E219),'co-so-du-lieu-virus'!$A$2:$D$9,2,FALSE())</f>
        <v>BankStealer.X</v>
      </c>
      <c r="G219" s="4" t="str">
        <f aca="false">VLOOKUP(TRIM($E219),'co-so-du-lieu-virus'!$A$2:$D$9,3,FALSE())</f>
        <v>Trojan</v>
      </c>
      <c r="H219" s="4" t="str">
        <f aca="false">VLOOKUP(TRIM($E219),'co-so-du-lieu-virus'!$A$2:$D$9,4,FALSE())</f>
        <v>Cao</v>
      </c>
    </row>
    <row r="220" customFormat="false" ht="15" hidden="false" customHeight="false" outlineLevel="0" collapsed="false">
      <c r="A220" s="2" t="s">
        <v>428</v>
      </c>
      <c r="B220" s="3" t="n">
        <v>46304.5902777778</v>
      </c>
      <c r="C220" s="2" t="s">
        <v>429</v>
      </c>
      <c r="D220" s="2" t="s">
        <v>71</v>
      </c>
      <c r="E220" s="2" t="s">
        <v>14</v>
      </c>
      <c r="F220" s="4" t="str">
        <f aca="false">VLOOKUP(TRIM($E220),'co-so-du-lieu-virus'!$A$2:$D$9,2,FALSE())</f>
        <v>RemoteShell.T</v>
      </c>
      <c r="G220" s="4" t="str">
        <f aca="false">VLOOKUP(TRIM($E220),'co-so-du-lieu-virus'!$A$2:$D$9,3,FALSE())</f>
        <v>Trojan</v>
      </c>
      <c r="H220" s="4" t="str">
        <f aca="false">VLOOKUP(TRIM($E220),'co-so-du-lieu-virus'!$A$2:$D$9,4,FALSE())</f>
        <v>Cao</v>
      </c>
    </row>
    <row r="221" customFormat="false" ht="15" hidden="false" customHeight="false" outlineLevel="0" collapsed="false">
      <c r="A221" s="2" t="s">
        <v>430</v>
      </c>
      <c r="B221" s="3" t="n">
        <v>46305.3243055556</v>
      </c>
      <c r="C221" s="2" t="s">
        <v>431</v>
      </c>
      <c r="D221" s="2" t="s">
        <v>71</v>
      </c>
      <c r="E221" s="2" t="s">
        <v>145</v>
      </c>
      <c r="F221" s="4" t="str">
        <f aca="false">VLOOKUP(TRIM($E221),'co-so-du-lieu-virus'!$A$2:$D$9,2,FALSE())</f>
        <v>NetCrawler</v>
      </c>
      <c r="G221" s="4" t="str">
        <f aca="false">VLOOKUP(TRIM($E221),'co-so-du-lieu-virus'!$A$2:$D$9,3,FALSE())</f>
        <v>Worm</v>
      </c>
      <c r="H221" s="4" t="str">
        <f aca="false">VLOOKUP(TRIM($E221),'co-so-du-lieu-virus'!$A$2:$D$9,4,FALSE())</f>
        <v>Cao</v>
      </c>
    </row>
    <row r="222" customFormat="false" ht="15" hidden="false" customHeight="false" outlineLevel="0" collapsed="false">
      <c r="A222" s="2" t="s">
        <v>432</v>
      </c>
      <c r="B222" s="3" t="n">
        <v>46303.20625</v>
      </c>
      <c r="C222" s="2" t="s">
        <v>433</v>
      </c>
      <c r="D222" s="2" t="s">
        <v>34</v>
      </c>
      <c r="E222" s="2" t="s">
        <v>23</v>
      </c>
      <c r="F222" s="4" t="str">
        <f aca="false">VLOOKUP(TRIM($E222),'co-so-du-lieu-virus'!$A$2:$D$9,2,FALSE())</f>
        <v>BotHerd.M</v>
      </c>
      <c r="G222" s="4" t="str">
        <f aca="false">VLOOKUP(TRIM($E222),'co-so-du-lieu-virus'!$A$2:$D$9,3,FALSE())</f>
        <v>Botnet</v>
      </c>
      <c r="H222" s="4" t="str">
        <f aca="false">VLOOKUP(TRIM($E222),'co-so-du-lieu-virus'!$A$2:$D$9,4,FALSE())</f>
        <v>Cao</v>
      </c>
    </row>
    <row r="223" customFormat="false" ht="15" hidden="false" customHeight="false" outlineLevel="0" collapsed="false">
      <c r="A223" s="2" t="s">
        <v>434</v>
      </c>
      <c r="B223" s="3" t="n">
        <v>46312.0451388889</v>
      </c>
      <c r="C223" s="2" t="s">
        <v>426</v>
      </c>
      <c r="D223" s="2" t="s">
        <v>34</v>
      </c>
      <c r="E223" s="2" t="s">
        <v>26</v>
      </c>
      <c r="F223" s="4" t="str">
        <f aca="false">VLOOKUP(TRIM($E223),'co-so-du-lieu-virus'!$A$2:$D$9,2,FALSE())</f>
        <v>KeyWatch</v>
      </c>
      <c r="G223" s="4" t="str">
        <f aca="false">VLOOKUP(TRIM($E223),'co-so-du-lieu-virus'!$A$2:$D$9,3,FALSE())</f>
        <v>Spyware</v>
      </c>
      <c r="H223" s="4" t="str">
        <f aca="false">VLOOKUP(TRIM($E223),'co-so-du-lieu-virus'!$A$2:$D$9,4,FALSE())</f>
        <v>Trung bình</v>
      </c>
    </row>
    <row r="224" customFormat="false" ht="15" hidden="false" customHeight="false" outlineLevel="0" collapsed="false">
      <c r="A224" s="2" t="s">
        <v>435</v>
      </c>
      <c r="B224" s="3" t="n">
        <v>46305.01875</v>
      </c>
      <c r="C224" s="2" t="s">
        <v>205</v>
      </c>
      <c r="D224" s="2" t="s">
        <v>34</v>
      </c>
      <c r="E224" s="2" t="s">
        <v>14</v>
      </c>
      <c r="F224" s="4" t="str">
        <f aca="false">VLOOKUP(TRIM($E224),'co-so-du-lieu-virus'!$A$2:$D$9,2,FALSE())</f>
        <v>RemoteShell.T</v>
      </c>
      <c r="G224" s="4" t="str">
        <f aca="false">VLOOKUP(TRIM($E224),'co-so-du-lieu-virus'!$A$2:$D$9,3,FALSE())</f>
        <v>Trojan</v>
      </c>
      <c r="H224" s="4" t="str">
        <f aca="false">VLOOKUP(TRIM($E224),'co-so-du-lieu-virus'!$A$2:$D$9,4,FALSE())</f>
        <v>Cao</v>
      </c>
    </row>
    <row r="225" customFormat="false" ht="15" hidden="false" customHeight="false" outlineLevel="0" collapsed="false">
      <c r="A225" s="2" t="s">
        <v>436</v>
      </c>
      <c r="B225" s="3" t="n">
        <v>46304.9743055556</v>
      </c>
      <c r="C225" s="2" t="s">
        <v>254</v>
      </c>
      <c r="D225" s="2" t="s">
        <v>46</v>
      </c>
      <c r="E225" s="2" t="s">
        <v>26</v>
      </c>
      <c r="F225" s="4" t="str">
        <f aca="false">VLOOKUP(TRIM($E225),'co-so-du-lieu-virus'!$A$2:$D$9,2,FALSE())</f>
        <v>KeyWatch</v>
      </c>
      <c r="G225" s="4" t="str">
        <f aca="false">VLOOKUP(TRIM($E225),'co-so-du-lieu-virus'!$A$2:$D$9,3,FALSE())</f>
        <v>Spyware</v>
      </c>
      <c r="H225" s="4" t="str">
        <f aca="false">VLOOKUP(TRIM($E225),'co-so-du-lieu-virus'!$A$2:$D$9,4,FALSE())</f>
        <v>Trung bình</v>
      </c>
    </row>
    <row r="226" customFormat="false" ht="15" hidden="false" customHeight="false" outlineLevel="0" collapsed="false">
      <c r="A226" s="2" t="s">
        <v>437</v>
      </c>
      <c r="B226" s="3" t="n">
        <v>46302.2013888889</v>
      </c>
      <c r="C226" s="2" t="s">
        <v>353</v>
      </c>
      <c r="D226" s="2" t="s">
        <v>43</v>
      </c>
      <c r="E226" s="2" t="s">
        <v>252</v>
      </c>
      <c r="F226" s="4" t="str">
        <f aca="false">VLOOKUP(TRIM($E226),'co-so-du-lieu-virus'!$A$2:$D$9,2,FALSE())</f>
        <v>NetCrawler</v>
      </c>
      <c r="G226" s="4" t="str">
        <f aca="false">VLOOKUP(TRIM($E226),'co-so-du-lieu-virus'!$A$2:$D$9,3,FALSE())</f>
        <v>Worm</v>
      </c>
      <c r="H226" s="4" t="str">
        <f aca="false">VLOOKUP(TRIM($E226),'co-so-du-lieu-virus'!$A$2:$D$9,4,FALSE())</f>
        <v>Cao</v>
      </c>
    </row>
    <row r="227" customFormat="false" ht="15" hidden="false" customHeight="false" outlineLevel="0" collapsed="false">
      <c r="A227" s="2" t="s">
        <v>438</v>
      </c>
      <c r="B227" s="3" t="n">
        <v>46310.98125</v>
      </c>
      <c r="C227" s="2" t="s">
        <v>39</v>
      </c>
      <c r="D227" s="2" t="s">
        <v>71</v>
      </c>
      <c r="E227" s="2" t="s">
        <v>16</v>
      </c>
      <c r="F227" s="4" t="str">
        <f aca="false">VLOOKUP(TRIM($E227),'co-so-du-lieu-virus'!$A$2:$D$9,2,FALSE())</f>
        <v>NetCrawler</v>
      </c>
      <c r="G227" s="4" t="str">
        <f aca="false">VLOOKUP(TRIM($E227),'co-so-du-lieu-virus'!$A$2:$D$9,3,FALSE())</f>
        <v>Worm</v>
      </c>
      <c r="H227" s="4" t="str">
        <f aca="false">VLOOKUP(TRIM($E227),'co-so-du-lieu-virus'!$A$2:$D$9,4,FALSE())</f>
        <v>Cao</v>
      </c>
    </row>
    <row r="228" customFormat="false" ht="15" hidden="false" customHeight="false" outlineLevel="0" collapsed="false">
      <c r="A228" s="2" t="s">
        <v>439</v>
      </c>
      <c r="B228" s="3" t="n">
        <v>46316.5840277778</v>
      </c>
      <c r="C228" s="2" t="s">
        <v>132</v>
      </c>
      <c r="D228" s="2" t="s">
        <v>49</v>
      </c>
      <c r="E228" s="2" t="s">
        <v>10</v>
      </c>
      <c r="F228" s="4" t="str">
        <f aca="false">VLOOKUP(TRIM($E228),'co-so-du-lieu-virus'!$A$2:$D$9,2,FALSE())</f>
        <v>BankStealer.X</v>
      </c>
      <c r="G228" s="4" t="str">
        <f aca="false">VLOOKUP(TRIM($E228),'co-so-du-lieu-virus'!$A$2:$D$9,3,FALSE())</f>
        <v>Trojan</v>
      </c>
      <c r="H228" s="4" t="str">
        <f aca="false">VLOOKUP(TRIM($E228),'co-so-du-lieu-virus'!$A$2:$D$9,4,FALSE())</f>
        <v>Cao</v>
      </c>
    </row>
    <row r="229" customFormat="false" ht="15" hidden="false" customHeight="false" outlineLevel="0" collapsed="false">
      <c r="A229" s="2" t="s">
        <v>440</v>
      </c>
      <c r="B229" s="3" t="n">
        <v>46320.8555555556</v>
      </c>
      <c r="C229" s="2" t="s">
        <v>191</v>
      </c>
      <c r="D229" s="2" t="s">
        <v>46</v>
      </c>
      <c r="E229" s="2" t="s">
        <v>10</v>
      </c>
      <c r="F229" s="4" t="str">
        <f aca="false">VLOOKUP(TRIM($E229),'co-so-du-lieu-virus'!$A$2:$D$9,2,FALSE())</f>
        <v>BankStealer.X</v>
      </c>
      <c r="G229" s="4" t="str">
        <f aca="false">VLOOKUP(TRIM($E229),'co-so-du-lieu-virus'!$A$2:$D$9,3,FALSE())</f>
        <v>Trojan</v>
      </c>
      <c r="H229" s="4" t="str">
        <f aca="false">VLOOKUP(TRIM($E229),'co-so-du-lieu-virus'!$A$2:$D$9,4,FALSE())</f>
        <v>Cao</v>
      </c>
    </row>
    <row r="230" customFormat="false" ht="15" hidden="false" customHeight="false" outlineLevel="0" collapsed="false">
      <c r="A230" s="2" t="s">
        <v>441</v>
      </c>
      <c r="B230" s="3" t="n">
        <v>46311.2326388889</v>
      </c>
      <c r="C230" s="2" t="s">
        <v>305</v>
      </c>
      <c r="D230" s="2" t="s">
        <v>49</v>
      </c>
      <c r="E230" s="2" t="s">
        <v>16</v>
      </c>
      <c r="F230" s="4" t="str">
        <f aca="false">VLOOKUP(TRIM($E230),'co-so-du-lieu-virus'!$A$2:$D$9,2,FALSE())</f>
        <v>NetCrawler</v>
      </c>
      <c r="G230" s="4" t="str">
        <f aca="false">VLOOKUP(TRIM($E230),'co-so-du-lieu-virus'!$A$2:$D$9,3,FALSE())</f>
        <v>Worm</v>
      </c>
      <c r="H230" s="4" t="str">
        <f aca="false">VLOOKUP(TRIM($E230),'co-so-du-lieu-virus'!$A$2:$D$9,4,FALSE())</f>
        <v>Cao</v>
      </c>
    </row>
    <row r="231" customFormat="false" ht="15" hidden="false" customHeight="false" outlineLevel="0" collapsed="false">
      <c r="A231" s="2" t="s">
        <v>442</v>
      </c>
      <c r="B231" s="3" t="n">
        <v>46309.1333333333</v>
      </c>
      <c r="C231" s="2" t="s">
        <v>238</v>
      </c>
      <c r="D231" s="2" t="s">
        <v>71</v>
      </c>
      <c r="E231" s="2" t="s">
        <v>8</v>
      </c>
      <c r="F231" s="4" t="str">
        <f aca="false">VLOOKUP(TRIM($E231),'co-so-du-lieu-virus'!$A$2:$D$9,2,FALSE())</f>
        <v>NightLocker</v>
      </c>
      <c r="G231" s="4" t="str">
        <f aca="false">VLOOKUP(TRIM($E231),'co-so-du-lieu-virus'!$A$2:$D$9,3,FALSE())</f>
        <v>Ransomware</v>
      </c>
      <c r="H231" s="4" t="str">
        <f aca="false">VLOOKUP(TRIM($E231),'co-so-du-lieu-virus'!$A$2:$D$9,4,FALSE())</f>
        <v>Nghiêm trọng</v>
      </c>
    </row>
    <row r="232" customFormat="false" ht="15" hidden="false" customHeight="false" outlineLevel="0" collapsed="false">
      <c r="A232" s="2" t="s">
        <v>443</v>
      </c>
      <c r="B232" s="3" t="n">
        <v>46303.5486111111</v>
      </c>
      <c r="C232" s="2" t="s">
        <v>376</v>
      </c>
      <c r="D232" s="2" t="s">
        <v>34</v>
      </c>
      <c r="E232" s="2" t="s">
        <v>10</v>
      </c>
      <c r="F232" s="4" t="str">
        <f aca="false">VLOOKUP(TRIM($E232),'co-so-du-lieu-virus'!$A$2:$D$9,2,FALSE())</f>
        <v>BankStealer.X</v>
      </c>
      <c r="G232" s="4" t="str">
        <f aca="false">VLOOKUP(TRIM($E232),'co-so-du-lieu-virus'!$A$2:$D$9,3,FALSE())</f>
        <v>Trojan</v>
      </c>
      <c r="H232" s="4" t="str">
        <f aca="false">VLOOKUP(TRIM($E232),'co-so-du-lieu-virus'!$A$2:$D$9,4,FALSE())</f>
        <v>Cao</v>
      </c>
    </row>
    <row r="233" customFormat="false" ht="15" hidden="false" customHeight="false" outlineLevel="0" collapsed="false">
      <c r="A233" s="2" t="s">
        <v>444</v>
      </c>
      <c r="B233" s="3" t="n">
        <v>46314.3583333333</v>
      </c>
      <c r="C233" s="2" t="s">
        <v>93</v>
      </c>
      <c r="D233" s="2" t="s">
        <v>64</v>
      </c>
      <c r="E233" s="2" t="s">
        <v>252</v>
      </c>
      <c r="F233" s="4" t="str">
        <f aca="false">VLOOKUP(TRIM($E233),'co-so-du-lieu-virus'!$A$2:$D$9,2,FALSE())</f>
        <v>NetCrawler</v>
      </c>
      <c r="G233" s="4" t="str">
        <f aca="false">VLOOKUP(TRIM($E233),'co-so-du-lieu-virus'!$A$2:$D$9,3,FALSE())</f>
        <v>Worm</v>
      </c>
      <c r="H233" s="4" t="str">
        <f aca="false">VLOOKUP(TRIM($E233),'co-so-du-lieu-virus'!$A$2:$D$9,4,FALSE())</f>
        <v>Cao</v>
      </c>
    </row>
    <row r="234" customFormat="false" ht="15" hidden="false" customHeight="false" outlineLevel="0" collapsed="false">
      <c r="A234" s="2" t="s">
        <v>445</v>
      </c>
      <c r="B234" s="3" t="n">
        <v>46313.36875</v>
      </c>
      <c r="C234" s="2" t="s">
        <v>446</v>
      </c>
      <c r="D234" s="2" t="s">
        <v>34</v>
      </c>
      <c r="E234" s="2" t="s">
        <v>8</v>
      </c>
      <c r="F234" s="4" t="str">
        <f aca="false">VLOOKUP(TRIM($E234),'co-so-du-lieu-virus'!$A$2:$D$9,2,FALSE())</f>
        <v>NightLocker</v>
      </c>
      <c r="G234" s="4" t="str">
        <f aca="false">VLOOKUP(TRIM($E234),'co-so-du-lieu-virus'!$A$2:$D$9,3,FALSE())</f>
        <v>Ransomware</v>
      </c>
      <c r="H234" s="4" t="str">
        <f aca="false">VLOOKUP(TRIM($E234),'co-so-du-lieu-virus'!$A$2:$D$9,4,FALSE())</f>
        <v>Nghiêm trọng</v>
      </c>
    </row>
    <row r="235" customFormat="false" ht="15" hidden="false" customHeight="false" outlineLevel="0" collapsed="false">
      <c r="A235" s="2" t="s">
        <v>447</v>
      </c>
      <c r="B235" s="3" t="n">
        <v>46303.2152777778</v>
      </c>
      <c r="C235" s="2" t="s">
        <v>199</v>
      </c>
      <c r="D235" s="2" t="s">
        <v>43</v>
      </c>
      <c r="E235" s="2" t="s">
        <v>16</v>
      </c>
      <c r="F235" s="4" t="str">
        <f aca="false">VLOOKUP(TRIM($E235),'co-so-du-lieu-virus'!$A$2:$D$9,2,FALSE())</f>
        <v>NetCrawler</v>
      </c>
      <c r="G235" s="4" t="str">
        <f aca="false">VLOOKUP(TRIM($E235),'co-so-du-lieu-virus'!$A$2:$D$9,3,FALSE())</f>
        <v>Worm</v>
      </c>
      <c r="H235" s="4" t="str">
        <f aca="false">VLOOKUP(TRIM($E235),'co-so-du-lieu-virus'!$A$2:$D$9,4,FALSE())</f>
        <v>Cao</v>
      </c>
    </row>
    <row r="236" customFormat="false" ht="15" hidden="false" customHeight="false" outlineLevel="0" collapsed="false">
      <c r="A236" s="2" t="s">
        <v>448</v>
      </c>
      <c r="B236" s="3" t="n">
        <v>46301.3826388889</v>
      </c>
      <c r="C236" s="2" t="s">
        <v>254</v>
      </c>
      <c r="D236" s="2" t="s">
        <v>43</v>
      </c>
      <c r="E236" s="2" t="s">
        <v>211</v>
      </c>
      <c r="F236" s="4" t="str">
        <f aca="false">VLOOKUP(TRIM($E236),'co-so-du-lieu-virus'!$A$2:$D$9,2,FALSE())</f>
        <v>RemoteShell.T</v>
      </c>
      <c r="G236" s="4" t="str">
        <f aca="false">VLOOKUP(TRIM($E236),'co-so-du-lieu-virus'!$A$2:$D$9,3,FALSE())</f>
        <v>Trojan</v>
      </c>
      <c r="H236" s="4" t="str">
        <f aca="false">VLOOKUP(TRIM($E236),'co-so-du-lieu-virus'!$A$2:$D$9,4,FALSE())</f>
        <v>Cao</v>
      </c>
    </row>
    <row r="237" customFormat="false" ht="15" hidden="false" customHeight="false" outlineLevel="0" collapsed="false">
      <c r="A237" s="2" t="s">
        <v>449</v>
      </c>
      <c r="B237" s="3" t="n">
        <v>46307.9993055556</v>
      </c>
      <c r="C237" s="2" t="s">
        <v>353</v>
      </c>
      <c r="D237" s="2" t="s">
        <v>34</v>
      </c>
      <c r="E237" s="2" t="s">
        <v>8</v>
      </c>
      <c r="F237" s="4" t="str">
        <f aca="false">VLOOKUP(TRIM($E237),'co-so-du-lieu-virus'!$A$2:$D$9,2,FALSE())</f>
        <v>NightLocker</v>
      </c>
      <c r="G237" s="4" t="str">
        <f aca="false">VLOOKUP(TRIM($E237),'co-so-du-lieu-virus'!$A$2:$D$9,3,FALSE())</f>
        <v>Ransomware</v>
      </c>
      <c r="H237" s="4" t="str">
        <f aca="false">VLOOKUP(TRIM($E237),'co-so-du-lieu-virus'!$A$2:$D$9,4,FALSE())</f>
        <v>Nghiêm trọng</v>
      </c>
    </row>
    <row r="238" customFormat="false" ht="15" hidden="false" customHeight="false" outlineLevel="0" collapsed="false">
      <c r="A238" s="2" t="s">
        <v>450</v>
      </c>
      <c r="B238" s="3" t="n">
        <v>46302.5875</v>
      </c>
      <c r="C238" s="2" t="s">
        <v>249</v>
      </c>
      <c r="D238" s="2" t="s">
        <v>43</v>
      </c>
      <c r="E238" s="2" t="s">
        <v>320</v>
      </c>
      <c r="F238" s="4" t="str">
        <f aca="false">VLOOKUP(TRIM($E238),'co-so-du-lieu-virus'!$A$2:$D$9,2,FALSE())</f>
        <v>KeyWatch</v>
      </c>
      <c r="G238" s="4" t="str">
        <f aca="false">VLOOKUP(TRIM($E238),'co-so-du-lieu-virus'!$A$2:$D$9,3,FALSE())</f>
        <v>Spyware</v>
      </c>
      <c r="H238" s="4" t="str">
        <f aca="false">VLOOKUP(TRIM($E238),'co-so-du-lieu-virus'!$A$2:$D$9,4,FALSE())</f>
        <v>Trung bình</v>
      </c>
    </row>
    <row r="239" customFormat="false" ht="15" hidden="false" customHeight="false" outlineLevel="0" collapsed="false">
      <c r="A239" s="2" t="s">
        <v>451</v>
      </c>
      <c r="B239" s="3" t="n">
        <v>46314.7243055556</v>
      </c>
      <c r="C239" s="2" t="s">
        <v>291</v>
      </c>
      <c r="D239" s="2" t="s">
        <v>34</v>
      </c>
      <c r="E239" s="2" t="s">
        <v>16</v>
      </c>
      <c r="F239" s="4" t="str">
        <f aca="false">VLOOKUP(TRIM($E239),'co-so-du-lieu-virus'!$A$2:$D$9,2,FALSE())</f>
        <v>NetCrawler</v>
      </c>
      <c r="G239" s="4" t="str">
        <f aca="false">VLOOKUP(TRIM($E239),'co-so-du-lieu-virus'!$A$2:$D$9,3,FALSE())</f>
        <v>Worm</v>
      </c>
      <c r="H239" s="4" t="str">
        <f aca="false">VLOOKUP(TRIM($E239),'co-so-du-lieu-virus'!$A$2:$D$9,4,FALSE())</f>
        <v>Cao</v>
      </c>
    </row>
    <row r="240" customFormat="false" ht="15" hidden="false" customHeight="false" outlineLevel="0" collapsed="false">
      <c r="A240" s="2" t="s">
        <v>452</v>
      </c>
      <c r="B240" s="3" t="n">
        <v>46314.5208333333</v>
      </c>
      <c r="C240" s="2" t="s">
        <v>453</v>
      </c>
      <c r="D240" s="2" t="s">
        <v>71</v>
      </c>
      <c r="E240" s="2" t="s">
        <v>26</v>
      </c>
      <c r="F240" s="4" t="str">
        <f aca="false">VLOOKUP(TRIM($E240),'co-so-du-lieu-virus'!$A$2:$D$9,2,FALSE())</f>
        <v>KeyWatch</v>
      </c>
      <c r="G240" s="4" t="str">
        <f aca="false">VLOOKUP(TRIM($E240),'co-so-du-lieu-virus'!$A$2:$D$9,3,FALSE())</f>
        <v>Spyware</v>
      </c>
      <c r="H240" s="4" t="str">
        <f aca="false">VLOOKUP(TRIM($E240),'co-so-du-lieu-virus'!$A$2:$D$9,4,FALSE())</f>
        <v>Trung bình</v>
      </c>
    </row>
    <row r="241" customFormat="false" ht="15" hidden="false" customHeight="false" outlineLevel="0" collapsed="false">
      <c r="A241" s="2" t="s">
        <v>454</v>
      </c>
      <c r="B241" s="3" t="n">
        <v>46314.6145833333</v>
      </c>
      <c r="C241" s="2" t="s">
        <v>455</v>
      </c>
      <c r="D241" s="2" t="s">
        <v>43</v>
      </c>
      <c r="E241" s="2" t="s">
        <v>14</v>
      </c>
      <c r="F241" s="4" t="str">
        <f aca="false">VLOOKUP(TRIM($E241),'co-so-du-lieu-virus'!$A$2:$D$9,2,FALSE())</f>
        <v>RemoteShell.T</v>
      </c>
      <c r="G241" s="4" t="str">
        <f aca="false">VLOOKUP(TRIM($E241),'co-so-du-lieu-virus'!$A$2:$D$9,3,FALSE())</f>
        <v>Trojan</v>
      </c>
      <c r="H241" s="4" t="str">
        <f aca="false">VLOOKUP(TRIM($E241),'co-so-du-lieu-virus'!$A$2:$D$9,4,FALSE())</f>
        <v>Cao</v>
      </c>
    </row>
    <row r="242" customFormat="false" ht="15" hidden="false" customHeight="false" outlineLevel="0" collapsed="false">
      <c r="A242" s="2" t="s">
        <v>456</v>
      </c>
      <c r="B242" s="3" t="n">
        <v>46311.0347222222</v>
      </c>
      <c r="C242" s="2" t="s">
        <v>210</v>
      </c>
      <c r="D242" s="2" t="s">
        <v>34</v>
      </c>
      <c r="E242" s="2" t="s">
        <v>418</v>
      </c>
      <c r="F242" s="4" t="str">
        <f aca="false">VLOOKUP(TRIM($E242),'co-so-du-lieu-virus'!$A$2:$D$9,2,FALSE())</f>
        <v>NightLocker</v>
      </c>
      <c r="G242" s="4" t="str">
        <f aca="false">VLOOKUP(TRIM($E242),'co-so-du-lieu-virus'!$A$2:$D$9,3,FALSE())</f>
        <v>Ransomware</v>
      </c>
      <c r="H242" s="4" t="str">
        <f aca="false">VLOOKUP(TRIM($E242),'co-so-du-lieu-virus'!$A$2:$D$9,4,FALSE())</f>
        <v>Nghiêm trọng</v>
      </c>
    </row>
    <row r="243" customFormat="false" ht="15" hidden="false" customHeight="false" outlineLevel="0" collapsed="false">
      <c r="A243" s="2" t="s">
        <v>457</v>
      </c>
      <c r="B243" s="3" t="n">
        <v>46310.5944444445</v>
      </c>
      <c r="C243" s="2" t="s">
        <v>458</v>
      </c>
      <c r="D243" s="2" t="s">
        <v>46</v>
      </c>
      <c r="E243" s="2" t="s">
        <v>14</v>
      </c>
      <c r="F243" s="4" t="str">
        <f aca="false">VLOOKUP(TRIM($E243),'co-so-du-lieu-virus'!$A$2:$D$9,2,FALSE())</f>
        <v>RemoteShell.T</v>
      </c>
      <c r="G243" s="4" t="str">
        <f aca="false">VLOOKUP(TRIM($E243),'co-so-du-lieu-virus'!$A$2:$D$9,3,FALSE())</f>
        <v>Trojan</v>
      </c>
      <c r="H243" s="4" t="str">
        <f aca="false">VLOOKUP(TRIM($E243),'co-so-du-lieu-virus'!$A$2:$D$9,4,FALSE())</f>
        <v>Cao</v>
      </c>
    </row>
    <row r="244" customFormat="false" ht="15" hidden="false" customHeight="false" outlineLevel="0" collapsed="false">
      <c r="A244" s="2" t="s">
        <v>459</v>
      </c>
      <c r="B244" s="3" t="n">
        <v>46315.7159722222</v>
      </c>
      <c r="C244" s="2" t="s">
        <v>78</v>
      </c>
      <c r="D244" s="2" t="s">
        <v>43</v>
      </c>
      <c r="E244" s="2" t="s">
        <v>10</v>
      </c>
      <c r="F244" s="4" t="str">
        <f aca="false">VLOOKUP(TRIM($E244),'co-so-du-lieu-virus'!$A$2:$D$9,2,FALSE())</f>
        <v>BankStealer.X</v>
      </c>
      <c r="G244" s="4" t="str">
        <f aca="false">VLOOKUP(TRIM($E244),'co-so-du-lieu-virus'!$A$2:$D$9,3,FALSE())</f>
        <v>Trojan</v>
      </c>
      <c r="H244" s="4" t="str">
        <f aca="false">VLOOKUP(TRIM($E244),'co-so-du-lieu-virus'!$A$2:$D$9,4,FALSE())</f>
        <v>Cao</v>
      </c>
    </row>
    <row r="245" customFormat="false" ht="15" hidden="false" customHeight="false" outlineLevel="0" collapsed="false">
      <c r="A245" s="2" t="s">
        <v>460</v>
      </c>
      <c r="B245" s="3" t="n">
        <v>46309.8694444444</v>
      </c>
      <c r="C245" s="2" t="s">
        <v>48</v>
      </c>
      <c r="D245" s="2" t="s">
        <v>34</v>
      </c>
      <c r="E245" s="2" t="s">
        <v>16</v>
      </c>
      <c r="F245" s="4" t="str">
        <f aca="false">VLOOKUP(TRIM($E245),'co-so-du-lieu-virus'!$A$2:$D$9,2,FALSE())</f>
        <v>NetCrawler</v>
      </c>
      <c r="G245" s="4" t="str">
        <f aca="false">VLOOKUP(TRIM($E245),'co-so-du-lieu-virus'!$A$2:$D$9,3,FALSE())</f>
        <v>Worm</v>
      </c>
      <c r="H245" s="4" t="str">
        <f aca="false">VLOOKUP(TRIM($E245),'co-so-du-lieu-virus'!$A$2:$D$9,4,FALSE())</f>
        <v>Cao</v>
      </c>
    </row>
    <row r="246" customFormat="false" ht="15" hidden="false" customHeight="false" outlineLevel="0" collapsed="false">
      <c r="A246" s="2" t="s">
        <v>461</v>
      </c>
      <c r="B246" s="3" t="n">
        <v>46316.3409722222</v>
      </c>
      <c r="C246" s="2" t="s">
        <v>353</v>
      </c>
      <c r="D246" s="2" t="s">
        <v>34</v>
      </c>
      <c r="E246" s="2" t="s">
        <v>23</v>
      </c>
      <c r="F246" s="4" t="str">
        <f aca="false">VLOOKUP(TRIM($E246),'co-so-du-lieu-virus'!$A$2:$D$9,2,FALSE())</f>
        <v>BotHerd.M</v>
      </c>
      <c r="G246" s="4" t="str">
        <f aca="false">VLOOKUP(TRIM($E246),'co-so-du-lieu-virus'!$A$2:$D$9,3,FALSE())</f>
        <v>Botnet</v>
      </c>
      <c r="H246" s="4" t="str">
        <f aca="false">VLOOKUP(TRIM($E246),'co-so-du-lieu-virus'!$A$2:$D$9,4,FALSE())</f>
        <v>Cao</v>
      </c>
    </row>
    <row r="247" customFormat="false" ht="15" hidden="false" customHeight="false" outlineLevel="0" collapsed="false">
      <c r="A247" s="2" t="s">
        <v>462</v>
      </c>
      <c r="B247" s="3" t="n">
        <v>46317.65</v>
      </c>
      <c r="C247" s="2" t="s">
        <v>261</v>
      </c>
      <c r="D247" s="2" t="s">
        <v>46</v>
      </c>
      <c r="E247" s="2" t="s">
        <v>23</v>
      </c>
      <c r="F247" s="4" t="str">
        <f aca="false">VLOOKUP(TRIM($E247),'co-so-du-lieu-virus'!$A$2:$D$9,2,FALSE())</f>
        <v>BotHerd.M</v>
      </c>
      <c r="G247" s="4" t="str">
        <f aca="false">VLOOKUP(TRIM($E247),'co-so-du-lieu-virus'!$A$2:$D$9,3,FALSE())</f>
        <v>Botnet</v>
      </c>
      <c r="H247" s="4" t="str">
        <f aca="false">VLOOKUP(TRIM($E247),'co-so-du-lieu-virus'!$A$2:$D$9,4,FALSE())</f>
        <v>Cao</v>
      </c>
    </row>
    <row r="248" customFormat="false" ht="15" hidden="false" customHeight="false" outlineLevel="0" collapsed="false">
      <c r="A248" s="2" t="s">
        <v>463</v>
      </c>
      <c r="B248" s="3" t="n">
        <v>46309.9395833333</v>
      </c>
      <c r="C248" s="2" t="s">
        <v>113</v>
      </c>
      <c r="D248" s="2" t="s">
        <v>43</v>
      </c>
      <c r="E248" s="2" t="s">
        <v>14</v>
      </c>
      <c r="F248" s="4" t="str">
        <f aca="false">VLOOKUP(TRIM($E248),'co-so-du-lieu-virus'!$A$2:$D$9,2,FALSE())</f>
        <v>RemoteShell.T</v>
      </c>
      <c r="G248" s="4" t="str">
        <f aca="false">VLOOKUP(TRIM($E248),'co-so-du-lieu-virus'!$A$2:$D$9,3,FALSE())</f>
        <v>Trojan</v>
      </c>
      <c r="H248" s="4" t="str">
        <f aca="false">VLOOKUP(TRIM($E248),'co-so-du-lieu-virus'!$A$2:$D$9,4,FALSE())</f>
        <v>Cao</v>
      </c>
    </row>
    <row r="249" customFormat="false" ht="15" hidden="false" customHeight="false" outlineLevel="0" collapsed="false">
      <c r="A249" s="2" t="s">
        <v>464</v>
      </c>
      <c r="B249" s="3" t="n">
        <v>46312.7826388889</v>
      </c>
      <c r="C249" s="2" t="s">
        <v>465</v>
      </c>
      <c r="D249" s="2" t="s">
        <v>34</v>
      </c>
      <c r="E249" s="2" t="s">
        <v>26</v>
      </c>
      <c r="F249" s="4" t="str">
        <f aca="false">VLOOKUP(TRIM($E249),'co-so-du-lieu-virus'!$A$2:$D$9,2,FALSE())</f>
        <v>KeyWatch</v>
      </c>
      <c r="G249" s="4" t="str">
        <f aca="false">VLOOKUP(TRIM($E249),'co-so-du-lieu-virus'!$A$2:$D$9,3,FALSE())</f>
        <v>Spyware</v>
      </c>
      <c r="H249" s="4" t="str">
        <f aca="false">VLOOKUP(TRIM($E249),'co-so-du-lieu-virus'!$A$2:$D$9,4,FALSE())</f>
        <v>Trung bình</v>
      </c>
    </row>
    <row r="250" customFormat="false" ht="15" hidden="false" customHeight="false" outlineLevel="0" collapsed="false">
      <c r="A250" s="2" t="s">
        <v>466</v>
      </c>
      <c r="B250" s="3" t="n">
        <v>46306.0930555556</v>
      </c>
      <c r="C250" s="2" t="s">
        <v>467</v>
      </c>
      <c r="D250" s="2" t="s">
        <v>64</v>
      </c>
      <c r="E250" s="2" t="s">
        <v>14</v>
      </c>
      <c r="F250" s="4" t="str">
        <f aca="false">VLOOKUP(TRIM($E250),'co-so-du-lieu-virus'!$A$2:$D$9,2,FALSE())</f>
        <v>RemoteShell.T</v>
      </c>
      <c r="G250" s="4" t="str">
        <f aca="false">VLOOKUP(TRIM($E250),'co-so-du-lieu-virus'!$A$2:$D$9,3,FALSE())</f>
        <v>Trojan</v>
      </c>
      <c r="H250" s="4" t="str">
        <f aca="false">VLOOKUP(TRIM($E250),'co-so-du-lieu-virus'!$A$2:$D$9,4,FALSE())</f>
        <v>Cao</v>
      </c>
    </row>
    <row r="251" customFormat="false" ht="15" hidden="false" customHeight="false" outlineLevel="0" collapsed="false">
      <c r="A251" s="2" t="s">
        <v>468</v>
      </c>
      <c r="B251" s="3" t="n">
        <v>46300.4854166667</v>
      </c>
      <c r="C251" s="2" t="s">
        <v>193</v>
      </c>
      <c r="D251" s="2" t="s">
        <v>49</v>
      </c>
      <c r="E251" s="2" t="s">
        <v>184</v>
      </c>
      <c r="F251" s="4" t="str">
        <f aca="false">VLOOKUP(TRIM($E251),'co-so-du-lieu-virus'!$A$2:$D$9,2,FALSE())</f>
        <v>RemoteShell.T</v>
      </c>
      <c r="G251" s="4" t="str">
        <f aca="false">VLOOKUP(TRIM($E251),'co-so-du-lieu-virus'!$A$2:$D$9,3,FALSE())</f>
        <v>Trojan</v>
      </c>
      <c r="H251" s="4" t="str">
        <f aca="false">VLOOKUP(TRIM($E251),'co-so-du-lieu-virus'!$A$2:$D$9,4,FALSE())</f>
        <v>Cao</v>
      </c>
    </row>
    <row r="252" customFormat="false" ht="15" hidden="false" customHeight="false" outlineLevel="0" collapsed="false">
      <c r="A252" s="2" t="s">
        <v>469</v>
      </c>
      <c r="B252" s="3" t="n">
        <v>46316.6243055556</v>
      </c>
      <c r="C252" s="2" t="s">
        <v>470</v>
      </c>
      <c r="D252" s="2" t="s">
        <v>71</v>
      </c>
      <c r="E252" s="2" t="s">
        <v>8</v>
      </c>
      <c r="F252" s="4" t="str">
        <f aca="false">VLOOKUP(TRIM($E252),'co-so-du-lieu-virus'!$A$2:$D$9,2,FALSE())</f>
        <v>NightLocker</v>
      </c>
      <c r="G252" s="4" t="str">
        <f aca="false">VLOOKUP(TRIM($E252),'co-so-du-lieu-virus'!$A$2:$D$9,3,FALSE())</f>
        <v>Ransomware</v>
      </c>
      <c r="H252" s="4" t="str">
        <f aca="false">VLOOKUP(TRIM($E252),'co-so-du-lieu-virus'!$A$2:$D$9,4,FALSE())</f>
        <v>Nghiêm trọng</v>
      </c>
    </row>
    <row r="253" customFormat="false" ht="15" hidden="false" customHeight="false" outlineLevel="0" collapsed="false">
      <c r="A253" s="2" t="s">
        <v>471</v>
      </c>
      <c r="B253" s="3" t="n">
        <v>46310.7798611111</v>
      </c>
      <c r="C253" s="2" t="s">
        <v>472</v>
      </c>
      <c r="D253" s="2" t="s">
        <v>46</v>
      </c>
      <c r="E253" s="2" t="s">
        <v>10</v>
      </c>
      <c r="F253" s="4" t="str">
        <f aca="false">VLOOKUP(TRIM($E253),'co-so-du-lieu-virus'!$A$2:$D$9,2,FALSE())</f>
        <v>BankStealer.X</v>
      </c>
      <c r="G253" s="4" t="str">
        <f aca="false">VLOOKUP(TRIM($E253),'co-so-du-lieu-virus'!$A$2:$D$9,3,FALSE())</f>
        <v>Trojan</v>
      </c>
      <c r="H253" s="4" t="str">
        <f aca="false">VLOOKUP(TRIM($E253),'co-so-du-lieu-virus'!$A$2:$D$9,4,FALSE())</f>
        <v>Cao</v>
      </c>
    </row>
    <row r="254" customFormat="false" ht="15" hidden="false" customHeight="false" outlineLevel="0" collapsed="false">
      <c r="A254" s="2" t="s">
        <v>473</v>
      </c>
      <c r="B254" s="3" t="n">
        <v>46320.1416666667</v>
      </c>
      <c r="C254" s="2" t="s">
        <v>474</v>
      </c>
      <c r="D254" s="2" t="s">
        <v>49</v>
      </c>
      <c r="E254" s="2" t="s">
        <v>14</v>
      </c>
      <c r="F254" s="4" t="str">
        <f aca="false">VLOOKUP(TRIM($E254),'co-so-du-lieu-virus'!$A$2:$D$9,2,FALSE())</f>
        <v>RemoteShell.T</v>
      </c>
      <c r="G254" s="4" t="str">
        <f aca="false">VLOOKUP(TRIM($E254),'co-so-du-lieu-virus'!$A$2:$D$9,3,FALSE())</f>
        <v>Trojan</v>
      </c>
      <c r="H254" s="4" t="str">
        <f aca="false">VLOOKUP(TRIM($E254),'co-so-du-lieu-virus'!$A$2:$D$9,4,FALSE())</f>
        <v>Cao</v>
      </c>
    </row>
    <row r="255" customFormat="false" ht="15" hidden="false" customHeight="false" outlineLevel="0" collapsed="false">
      <c r="A255" s="2" t="s">
        <v>475</v>
      </c>
      <c r="B255" s="3" t="n">
        <v>46298.0881944444</v>
      </c>
      <c r="C255" s="2" t="s">
        <v>476</v>
      </c>
      <c r="D255" s="2" t="s">
        <v>46</v>
      </c>
      <c r="E255" s="2" t="s">
        <v>10</v>
      </c>
      <c r="F255" s="4" t="str">
        <f aca="false">VLOOKUP(TRIM($E255),'co-so-du-lieu-virus'!$A$2:$D$9,2,FALSE())</f>
        <v>BankStealer.X</v>
      </c>
      <c r="G255" s="4" t="str">
        <f aca="false">VLOOKUP(TRIM($E255),'co-so-du-lieu-virus'!$A$2:$D$9,3,FALSE())</f>
        <v>Trojan</v>
      </c>
      <c r="H255" s="4" t="str">
        <f aca="false">VLOOKUP(TRIM($E255),'co-so-du-lieu-virus'!$A$2:$D$9,4,FALSE())</f>
        <v>Cao</v>
      </c>
    </row>
    <row r="256" customFormat="false" ht="15" hidden="false" customHeight="false" outlineLevel="0" collapsed="false">
      <c r="A256" s="2" t="s">
        <v>477</v>
      </c>
      <c r="B256" s="3" t="n">
        <v>46310.7611111111</v>
      </c>
      <c r="C256" s="2" t="s">
        <v>54</v>
      </c>
      <c r="D256" s="2" t="s">
        <v>49</v>
      </c>
      <c r="E256" s="2" t="s">
        <v>14</v>
      </c>
      <c r="F256" s="4" t="str">
        <f aca="false">VLOOKUP(TRIM($E256),'co-so-du-lieu-virus'!$A$2:$D$9,2,FALSE())</f>
        <v>RemoteShell.T</v>
      </c>
      <c r="G256" s="4" t="str">
        <f aca="false">VLOOKUP(TRIM($E256),'co-so-du-lieu-virus'!$A$2:$D$9,3,FALSE())</f>
        <v>Trojan</v>
      </c>
      <c r="H256" s="4" t="str">
        <f aca="false">VLOOKUP(TRIM($E256),'co-so-du-lieu-virus'!$A$2:$D$9,4,FALSE())</f>
        <v>Cao</v>
      </c>
    </row>
    <row r="257" customFormat="false" ht="15" hidden="false" customHeight="false" outlineLevel="0" collapsed="false">
      <c r="A257" s="2" t="s">
        <v>478</v>
      </c>
      <c r="B257" s="3" t="n">
        <v>46317.5097222222</v>
      </c>
      <c r="C257" s="2" t="s">
        <v>314</v>
      </c>
      <c r="D257" s="2" t="s">
        <v>49</v>
      </c>
      <c r="E257" s="2" t="s">
        <v>26</v>
      </c>
      <c r="F257" s="4" t="str">
        <f aca="false">VLOOKUP(TRIM($E257),'co-so-du-lieu-virus'!$A$2:$D$9,2,FALSE())</f>
        <v>KeyWatch</v>
      </c>
      <c r="G257" s="4" t="str">
        <f aca="false">VLOOKUP(TRIM($E257),'co-so-du-lieu-virus'!$A$2:$D$9,3,FALSE())</f>
        <v>Spyware</v>
      </c>
      <c r="H257" s="4" t="str">
        <f aca="false">VLOOKUP(TRIM($E257),'co-so-du-lieu-virus'!$A$2:$D$9,4,FALSE())</f>
        <v>Trung bình</v>
      </c>
    </row>
    <row r="258" customFormat="false" ht="15" hidden="false" customHeight="false" outlineLevel="0" collapsed="false">
      <c r="A258" s="2" t="s">
        <v>479</v>
      </c>
      <c r="B258" s="3" t="n">
        <v>46298.6833333333</v>
      </c>
      <c r="C258" s="2" t="s">
        <v>97</v>
      </c>
      <c r="D258" s="2" t="s">
        <v>71</v>
      </c>
      <c r="E258" s="2" t="s">
        <v>10</v>
      </c>
      <c r="F258" s="4" t="str">
        <f aca="false">VLOOKUP(TRIM($E258),'co-so-du-lieu-virus'!$A$2:$D$9,2,FALSE())</f>
        <v>BankStealer.X</v>
      </c>
      <c r="G258" s="4" t="str">
        <f aca="false">VLOOKUP(TRIM($E258),'co-so-du-lieu-virus'!$A$2:$D$9,3,FALSE())</f>
        <v>Trojan</v>
      </c>
      <c r="H258" s="4" t="str">
        <f aca="false">VLOOKUP(TRIM($E258),'co-so-du-lieu-virus'!$A$2:$D$9,4,FALSE())</f>
        <v>Cao</v>
      </c>
    </row>
    <row r="259" customFormat="false" ht="15" hidden="false" customHeight="false" outlineLevel="0" collapsed="false">
      <c r="A259" s="2" t="s">
        <v>480</v>
      </c>
      <c r="B259" s="3" t="n">
        <v>46317.5034722222</v>
      </c>
      <c r="C259" s="2" t="s">
        <v>159</v>
      </c>
      <c r="D259" s="2" t="s">
        <v>49</v>
      </c>
      <c r="E259" s="2" t="s">
        <v>23</v>
      </c>
      <c r="F259" s="4" t="str">
        <f aca="false">VLOOKUP(TRIM($E259),'co-so-du-lieu-virus'!$A$2:$D$9,2,FALSE())</f>
        <v>BotHerd.M</v>
      </c>
      <c r="G259" s="4" t="str">
        <f aca="false">VLOOKUP(TRIM($E259),'co-so-du-lieu-virus'!$A$2:$D$9,3,FALSE())</f>
        <v>Botnet</v>
      </c>
      <c r="H259" s="4" t="str">
        <f aca="false">VLOOKUP(TRIM($E259),'co-so-du-lieu-virus'!$A$2:$D$9,4,FALSE())</f>
        <v>Cao</v>
      </c>
    </row>
    <row r="260" customFormat="false" ht="15" hidden="false" customHeight="false" outlineLevel="0" collapsed="false">
      <c r="A260" s="2" t="s">
        <v>481</v>
      </c>
      <c r="B260" s="3" t="n">
        <v>46321.4784722222</v>
      </c>
      <c r="C260" s="2" t="s">
        <v>199</v>
      </c>
      <c r="D260" s="2" t="s">
        <v>34</v>
      </c>
      <c r="E260" s="2" t="s">
        <v>16</v>
      </c>
      <c r="F260" s="4" t="str">
        <f aca="false">VLOOKUP(TRIM($E260),'co-so-du-lieu-virus'!$A$2:$D$9,2,FALSE())</f>
        <v>NetCrawler</v>
      </c>
      <c r="G260" s="4" t="str">
        <f aca="false">VLOOKUP(TRIM($E260),'co-so-du-lieu-virus'!$A$2:$D$9,3,FALSE())</f>
        <v>Worm</v>
      </c>
      <c r="H260" s="4" t="str">
        <f aca="false">VLOOKUP(TRIM($E260),'co-so-du-lieu-virus'!$A$2:$D$9,4,FALSE())</f>
        <v>Cao</v>
      </c>
    </row>
    <row r="261" customFormat="false" ht="15" hidden="false" customHeight="false" outlineLevel="0" collapsed="false">
      <c r="A261" s="2" t="s">
        <v>482</v>
      </c>
      <c r="B261" s="3" t="n">
        <v>46300.8284722222</v>
      </c>
      <c r="C261" s="2" t="s">
        <v>476</v>
      </c>
      <c r="D261" s="2" t="s">
        <v>64</v>
      </c>
      <c r="E261" s="2" t="s">
        <v>252</v>
      </c>
      <c r="F261" s="4" t="str">
        <f aca="false">VLOOKUP(TRIM($E261),'co-so-du-lieu-virus'!$A$2:$D$9,2,FALSE())</f>
        <v>NetCrawler</v>
      </c>
      <c r="G261" s="4" t="str">
        <f aca="false">VLOOKUP(TRIM($E261),'co-so-du-lieu-virus'!$A$2:$D$9,3,FALSE())</f>
        <v>Worm</v>
      </c>
      <c r="H261" s="4" t="str">
        <f aca="false">VLOOKUP(TRIM($E261),'co-so-du-lieu-virus'!$A$2:$D$9,4,FALSE())</f>
        <v>Cao</v>
      </c>
    </row>
    <row r="262" customFormat="false" ht="15" hidden="false" customHeight="false" outlineLevel="0" collapsed="false">
      <c r="A262" s="2" t="s">
        <v>483</v>
      </c>
      <c r="B262" s="3" t="n">
        <v>46308.4645833333</v>
      </c>
      <c r="C262" s="2" t="s">
        <v>484</v>
      </c>
      <c r="D262" s="2" t="s">
        <v>43</v>
      </c>
      <c r="E262" s="2" t="s">
        <v>23</v>
      </c>
      <c r="F262" s="4" t="str">
        <f aca="false">VLOOKUP(TRIM($E262),'co-so-du-lieu-virus'!$A$2:$D$9,2,FALSE())</f>
        <v>BotHerd.M</v>
      </c>
      <c r="G262" s="4" t="str">
        <f aca="false">VLOOKUP(TRIM($E262),'co-so-du-lieu-virus'!$A$2:$D$9,3,FALSE())</f>
        <v>Botnet</v>
      </c>
      <c r="H262" s="4" t="str">
        <f aca="false">VLOOKUP(TRIM($E262),'co-so-du-lieu-virus'!$A$2:$D$9,4,FALSE())</f>
        <v>Cao</v>
      </c>
    </row>
    <row r="263" customFormat="false" ht="15" hidden="false" customHeight="false" outlineLevel="0" collapsed="false">
      <c r="A263" s="2" t="s">
        <v>485</v>
      </c>
      <c r="B263" s="3" t="n">
        <v>46316.2590277778</v>
      </c>
      <c r="C263" s="2" t="s">
        <v>388</v>
      </c>
      <c r="D263" s="2" t="s">
        <v>46</v>
      </c>
      <c r="E263" s="2" t="s">
        <v>294</v>
      </c>
      <c r="F263" s="4" t="str">
        <f aca="false">VLOOKUP(TRIM($E263),'co-so-du-lieu-virus'!$A$2:$D$9,2,FALSE())</f>
        <v>SilentSpy</v>
      </c>
      <c r="G263" s="4" t="str">
        <f aca="false">VLOOKUP(TRIM($E263),'co-so-du-lieu-virus'!$A$2:$D$9,3,FALSE())</f>
        <v>Spyware</v>
      </c>
      <c r="H263" s="4" t="str">
        <f aca="false">VLOOKUP(TRIM($E263),'co-so-du-lieu-virus'!$A$2:$D$9,4,FALSE())</f>
        <v>Trung bình</v>
      </c>
    </row>
    <row r="264" customFormat="false" ht="15" hidden="false" customHeight="false" outlineLevel="0" collapsed="false">
      <c r="A264" s="2" t="s">
        <v>486</v>
      </c>
      <c r="B264" s="3" t="n">
        <v>46301.4909722222</v>
      </c>
      <c r="C264" s="2" t="s">
        <v>359</v>
      </c>
      <c r="D264" s="2" t="s">
        <v>64</v>
      </c>
      <c r="E264" s="2" t="s">
        <v>8</v>
      </c>
      <c r="F264" s="4" t="str">
        <f aca="false">VLOOKUP(TRIM($E264),'co-so-du-lieu-virus'!$A$2:$D$9,2,FALSE())</f>
        <v>NightLocker</v>
      </c>
      <c r="G264" s="4" t="str">
        <f aca="false">VLOOKUP(TRIM($E264),'co-so-du-lieu-virus'!$A$2:$D$9,3,FALSE())</f>
        <v>Ransomware</v>
      </c>
      <c r="H264" s="4" t="str">
        <f aca="false">VLOOKUP(TRIM($E264),'co-so-du-lieu-virus'!$A$2:$D$9,4,FALSE())</f>
        <v>Nghiêm trọng</v>
      </c>
    </row>
    <row r="265" customFormat="false" ht="15" hidden="false" customHeight="false" outlineLevel="0" collapsed="false">
      <c r="A265" s="2" t="s">
        <v>487</v>
      </c>
      <c r="B265" s="3" t="n">
        <v>46318.8201388889</v>
      </c>
      <c r="C265" s="2" t="s">
        <v>403</v>
      </c>
      <c r="D265" s="2" t="s">
        <v>71</v>
      </c>
      <c r="E265" s="2" t="s">
        <v>89</v>
      </c>
      <c r="F265" s="4" t="str">
        <f aca="false">VLOOKUP(TRIM($E265),'co-so-du-lieu-virus'!$A$2:$D$9,2,FALSE())</f>
        <v>BankStealer.X</v>
      </c>
      <c r="G265" s="4" t="str">
        <f aca="false">VLOOKUP(TRIM($E265),'co-so-du-lieu-virus'!$A$2:$D$9,3,FALSE())</f>
        <v>Trojan</v>
      </c>
      <c r="H265" s="4" t="str">
        <f aca="false">VLOOKUP(TRIM($E265),'co-so-du-lieu-virus'!$A$2:$D$9,4,FALSE())</f>
        <v>Cao</v>
      </c>
    </row>
    <row r="266" customFormat="false" ht="15" hidden="false" customHeight="false" outlineLevel="0" collapsed="false">
      <c r="A266" s="2" t="s">
        <v>488</v>
      </c>
      <c r="B266" s="3" t="n">
        <v>46319.8659722222</v>
      </c>
      <c r="C266" s="2" t="s">
        <v>82</v>
      </c>
      <c r="D266" s="2" t="s">
        <v>46</v>
      </c>
      <c r="E266" s="2" t="s">
        <v>23</v>
      </c>
      <c r="F266" s="4" t="str">
        <f aca="false">VLOOKUP(TRIM($E266),'co-so-du-lieu-virus'!$A$2:$D$9,2,FALSE())</f>
        <v>BotHerd.M</v>
      </c>
      <c r="G266" s="4" t="str">
        <f aca="false">VLOOKUP(TRIM($E266),'co-so-du-lieu-virus'!$A$2:$D$9,3,FALSE())</f>
        <v>Botnet</v>
      </c>
      <c r="H266" s="4" t="str">
        <f aca="false">VLOOKUP(TRIM($E266),'co-so-du-lieu-virus'!$A$2:$D$9,4,FALSE())</f>
        <v>Cao</v>
      </c>
    </row>
    <row r="267" customFormat="false" ht="15" hidden="false" customHeight="false" outlineLevel="0" collapsed="false">
      <c r="A267" s="2" t="s">
        <v>489</v>
      </c>
      <c r="B267" s="3" t="n">
        <v>46309.6958333333</v>
      </c>
      <c r="C267" s="2" t="s">
        <v>291</v>
      </c>
      <c r="D267" s="2" t="s">
        <v>49</v>
      </c>
      <c r="E267" s="2" t="s">
        <v>16</v>
      </c>
      <c r="F267" s="4" t="str">
        <f aca="false">VLOOKUP(TRIM($E267),'co-so-du-lieu-virus'!$A$2:$D$9,2,FALSE())</f>
        <v>NetCrawler</v>
      </c>
      <c r="G267" s="4" t="str">
        <f aca="false">VLOOKUP(TRIM($E267),'co-so-du-lieu-virus'!$A$2:$D$9,3,FALSE())</f>
        <v>Worm</v>
      </c>
      <c r="H267" s="4" t="str">
        <f aca="false">VLOOKUP(TRIM($E267),'co-so-du-lieu-virus'!$A$2:$D$9,4,FALSE())</f>
        <v>Cao</v>
      </c>
    </row>
    <row r="268" customFormat="false" ht="15" hidden="false" customHeight="false" outlineLevel="0" collapsed="false">
      <c r="A268" s="2" t="s">
        <v>490</v>
      </c>
      <c r="B268" s="3" t="n">
        <v>46300.0951388889</v>
      </c>
      <c r="C268" s="2" t="s">
        <v>174</v>
      </c>
      <c r="D268" s="2" t="s">
        <v>46</v>
      </c>
      <c r="E268" s="2" t="s">
        <v>16</v>
      </c>
      <c r="F268" s="4" t="str">
        <f aca="false">VLOOKUP(TRIM($E268),'co-so-du-lieu-virus'!$A$2:$D$9,2,FALSE())</f>
        <v>NetCrawler</v>
      </c>
      <c r="G268" s="4" t="str">
        <f aca="false">VLOOKUP(TRIM($E268),'co-so-du-lieu-virus'!$A$2:$D$9,3,FALSE())</f>
        <v>Worm</v>
      </c>
      <c r="H268" s="4" t="str">
        <f aca="false">VLOOKUP(TRIM($E268),'co-so-du-lieu-virus'!$A$2:$D$9,4,FALSE())</f>
        <v>Cao</v>
      </c>
    </row>
    <row r="269" customFormat="false" ht="15" hidden="false" customHeight="false" outlineLevel="0" collapsed="false">
      <c r="A269" s="2" t="s">
        <v>491</v>
      </c>
      <c r="B269" s="3" t="n">
        <v>46320.1576388889</v>
      </c>
      <c r="C269" s="2" t="s">
        <v>458</v>
      </c>
      <c r="D269" s="2" t="s">
        <v>46</v>
      </c>
      <c r="E269" s="2" t="s">
        <v>14</v>
      </c>
      <c r="F269" s="4" t="str">
        <f aca="false">VLOOKUP(TRIM($E269),'co-so-du-lieu-virus'!$A$2:$D$9,2,FALSE())</f>
        <v>RemoteShell.T</v>
      </c>
      <c r="G269" s="4" t="str">
        <f aca="false">VLOOKUP(TRIM($E269),'co-so-du-lieu-virus'!$A$2:$D$9,3,FALSE())</f>
        <v>Trojan</v>
      </c>
      <c r="H269" s="4" t="str">
        <f aca="false">VLOOKUP(TRIM($E269),'co-so-du-lieu-virus'!$A$2:$D$9,4,FALSE())</f>
        <v>Cao</v>
      </c>
    </row>
    <row r="270" customFormat="false" ht="15" hidden="false" customHeight="false" outlineLevel="0" collapsed="false">
      <c r="A270" s="2" t="s">
        <v>492</v>
      </c>
      <c r="B270" s="3" t="n">
        <v>46320.4506944444</v>
      </c>
      <c r="C270" s="2" t="s">
        <v>433</v>
      </c>
      <c r="D270" s="2" t="s">
        <v>43</v>
      </c>
      <c r="E270" s="2" t="s">
        <v>4</v>
      </c>
      <c r="F270" s="4" t="str">
        <f aca="false">VLOOKUP(TRIM($E270),'co-so-du-lieu-virus'!$A$2:$D$9,2,FALSE())</f>
        <v>CryptoLock.A</v>
      </c>
      <c r="G270" s="4" t="str">
        <f aca="false">VLOOKUP(TRIM($E270),'co-so-du-lieu-virus'!$A$2:$D$9,3,FALSE())</f>
        <v>Ransomware</v>
      </c>
      <c r="H270" s="4" t="str">
        <f aca="false">VLOOKUP(TRIM($E270),'co-so-du-lieu-virus'!$A$2:$D$9,4,FALSE())</f>
        <v>Nghiêm trọng</v>
      </c>
    </row>
    <row r="271" customFormat="false" ht="15" hidden="false" customHeight="false" outlineLevel="0" collapsed="false">
      <c r="A271" s="2" t="s">
        <v>493</v>
      </c>
      <c r="B271" s="3" t="n">
        <v>46304.625</v>
      </c>
      <c r="C271" s="2" t="s">
        <v>353</v>
      </c>
      <c r="D271" s="2" t="s">
        <v>49</v>
      </c>
      <c r="E271" s="2" t="s">
        <v>40</v>
      </c>
      <c r="F271" s="4" t="str">
        <f aca="false">VLOOKUP(TRIM($E271),'co-so-du-lieu-virus'!$A$2:$D$9,2,FALSE())</f>
        <v>BotHerd.M</v>
      </c>
      <c r="G271" s="4" t="str">
        <f aca="false">VLOOKUP(TRIM($E271),'co-so-du-lieu-virus'!$A$2:$D$9,3,FALSE())</f>
        <v>Botnet</v>
      </c>
      <c r="H271" s="4" t="str">
        <f aca="false">VLOOKUP(TRIM($E271),'co-so-du-lieu-virus'!$A$2:$D$9,4,FALSE())</f>
        <v>Cao</v>
      </c>
    </row>
    <row r="272" customFormat="false" ht="15" hidden="false" customHeight="false" outlineLevel="0" collapsed="false">
      <c r="A272" s="2" t="s">
        <v>494</v>
      </c>
      <c r="B272" s="3" t="n">
        <v>46304.48125</v>
      </c>
      <c r="C272" s="2" t="s">
        <v>231</v>
      </c>
      <c r="D272" s="2" t="s">
        <v>49</v>
      </c>
      <c r="E272" s="2" t="s">
        <v>10</v>
      </c>
      <c r="F272" s="4" t="str">
        <f aca="false">VLOOKUP(TRIM($E272),'co-so-du-lieu-virus'!$A$2:$D$9,2,FALSE())</f>
        <v>BankStealer.X</v>
      </c>
      <c r="G272" s="4" t="str">
        <f aca="false">VLOOKUP(TRIM($E272),'co-so-du-lieu-virus'!$A$2:$D$9,3,FALSE())</f>
        <v>Trojan</v>
      </c>
      <c r="H272" s="4" t="str">
        <f aca="false">VLOOKUP(TRIM($E272),'co-so-du-lieu-virus'!$A$2:$D$9,4,FALSE())</f>
        <v>Cao</v>
      </c>
    </row>
    <row r="273" customFormat="false" ht="15" hidden="false" customHeight="false" outlineLevel="0" collapsed="false">
      <c r="A273" s="2" t="s">
        <v>495</v>
      </c>
      <c r="B273" s="3" t="n">
        <v>46313.5083333333</v>
      </c>
      <c r="C273" s="2" t="s">
        <v>470</v>
      </c>
      <c r="D273" s="2" t="s">
        <v>43</v>
      </c>
      <c r="E273" s="2" t="s">
        <v>128</v>
      </c>
      <c r="F273" s="4" t="str">
        <f aca="false">VLOOKUP(TRIM($E273),'co-so-du-lieu-virus'!$A$2:$D$9,2,FALSE())</f>
        <v>KeyWatch</v>
      </c>
      <c r="G273" s="4" t="str">
        <f aca="false">VLOOKUP(TRIM($E273),'co-so-du-lieu-virus'!$A$2:$D$9,3,FALSE())</f>
        <v>Spyware</v>
      </c>
      <c r="H273" s="4" t="str">
        <f aca="false">VLOOKUP(TRIM($E273),'co-so-du-lieu-virus'!$A$2:$D$9,4,FALSE())</f>
        <v>Trung bình</v>
      </c>
    </row>
    <row r="274" customFormat="false" ht="15" hidden="false" customHeight="false" outlineLevel="0" collapsed="false">
      <c r="A274" s="2" t="s">
        <v>496</v>
      </c>
      <c r="B274" s="3" t="n">
        <v>46312.3666666667</v>
      </c>
      <c r="C274" s="2" t="s">
        <v>155</v>
      </c>
      <c r="D274" s="2" t="s">
        <v>64</v>
      </c>
      <c r="E274" s="2" t="s">
        <v>137</v>
      </c>
      <c r="F274" s="4" t="str">
        <f aca="false">VLOOKUP(TRIM($E274),'co-so-du-lieu-virus'!$A$2:$D$9,2,FALSE())</f>
        <v>CryptoLock.A</v>
      </c>
      <c r="G274" s="4" t="str">
        <f aca="false">VLOOKUP(TRIM($E274),'co-so-du-lieu-virus'!$A$2:$D$9,3,FALSE())</f>
        <v>Ransomware</v>
      </c>
      <c r="H274" s="4" t="str">
        <f aca="false">VLOOKUP(TRIM($E274),'co-so-du-lieu-virus'!$A$2:$D$9,4,FALSE())</f>
        <v>Nghiêm trọng</v>
      </c>
    </row>
    <row r="275" customFormat="false" ht="15" hidden="false" customHeight="false" outlineLevel="0" collapsed="false">
      <c r="A275" s="2" t="s">
        <v>497</v>
      </c>
      <c r="B275" s="3" t="n">
        <v>46319.0111111111</v>
      </c>
      <c r="C275" s="2" t="s">
        <v>455</v>
      </c>
      <c r="D275" s="2" t="s">
        <v>64</v>
      </c>
      <c r="E275" s="2" t="s">
        <v>211</v>
      </c>
      <c r="F275" s="4" t="str">
        <f aca="false">VLOOKUP(TRIM($E275),'co-so-du-lieu-virus'!$A$2:$D$9,2,FALSE())</f>
        <v>RemoteShell.T</v>
      </c>
      <c r="G275" s="4" t="str">
        <f aca="false">VLOOKUP(TRIM($E275),'co-so-du-lieu-virus'!$A$2:$D$9,3,FALSE())</f>
        <v>Trojan</v>
      </c>
      <c r="H275" s="4" t="str">
        <f aca="false">VLOOKUP(TRIM($E275),'co-so-du-lieu-virus'!$A$2:$D$9,4,FALSE())</f>
        <v>Cao</v>
      </c>
    </row>
    <row r="276" customFormat="false" ht="15" hidden="false" customHeight="false" outlineLevel="0" collapsed="false">
      <c r="A276" s="2" t="s">
        <v>498</v>
      </c>
      <c r="B276" s="3" t="n">
        <v>46320.1972222222</v>
      </c>
      <c r="C276" s="2" t="s">
        <v>472</v>
      </c>
      <c r="D276" s="2" t="s">
        <v>34</v>
      </c>
      <c r="E276" s="2" t="s">
        <v>19</v>
      </c>
      <c r="F276" s="4" t="str">
        <f aca="false">VLOOKUP(TRIM($E276),'co-so-du-lieu-virus'!$A$2:$D$9,2,FALSE())</f>
        <v>SilentSpy</v>
      </c>
      <c r="G276" s="4" t="str">
        <f aca="false">VLOOKUP(TRIM($E276),'co-so-du-lieu-virus'!$A$2:$D$9,3,FALSE())</f>
        <v>Spyware</v>
      </c>
      <c r="H276" s="4" t="str">
        <f aca="false">VLOOKUP(TRIM($E276),'co-so-du-lieu-virus'!$A$2:$D$9,4,FALSE())</f>
        <v>Trung bình</v>
      </c>
    </row>
    <row r="277" customFormat="false" ht="15" hidden="false" customHeight="false" outlineLevel="0" collapsed="false">
      <c r="A277" s="2" t="s">
        <v>499</v>
      </c>
      <c r="B277" s="3" t="n">
        <v>46315.8229166667</v>
      </c>
      <c r="C277" s="2" t="s">
        <v>409</v>
      </c>
      <c r="D277" s="2" t="s">
        <v>64</v>
      </c>
      <c r="E277" s="2" t="s">
        <v>294</v>
      </c>
      <c r="F277" s="4" t="str">
        <f aca="false">VLOOKUP(TRIM($E277),'co-so-du-lieu-virus'!$A$2:$D$9,2,FALSE())</f>
        <v>SilentSpy</v>
      </c>
      <c r="G277" s="4" t="str">
        <f aca="false">VLOOKUP(TRIM($E277),'co-so-du-lieu-virus'!$A$2:$D$9,3,FALSE())</f>
        <v>Spyware</v>
      </c>
      <c r="H277" s="4" t="str">
        <f aca="false">VLOOKUP(TRIM($E277),'co-so-du-lieu-virus'!$A$2:$D$9,4,FALSE())</f>
        <v>Trung bình</v>
      </c>
    </row>
    <row r="278" customFormat="false" ht="15" hidden="false" customHeight="false" outlineLevel="0" collapsed="false">
      <c r="A278" s="2" t="s">
        <v>500</v>
      </c>
      <c r="B278" s="3" t="n">
        <v>46306.7375</v>
      </c>
      <c r="C278" s="2" t="s">
        <v>501</v>
      </c>
      <c r="D278" s="2" t="s">
        <v>43</v>
      </c>
      <c r="E278" s="2" t="s">
        <v>14</v>
      </c>
      <c r="F278" s="4" t="str">
        <f aca="false">VLOOKUP(TRIM($E278),'co-so-du-lieu-virus'!$A$2:$D$9,2,FALSE())</f>
        <v>RemoteShell.T</v>
      </c>
      <c r="G278" s="4" t="str">
        <f aca="false">VLOOKUP(TRIM($E278),'co-so-du-lieu-virus'!$A$2:$D$9,3,FALSE())</f>
        <v>Trojan</v>
      </c>
      <c r="H278" s="4" t="str">
        <f aca="false">VLOOKUP(TRIM($E278),'co-so-du-lieu-virus'!$A$2:$D$9,4,FALSE())</f>
        <v>Cao</v>
      </c>
    </row>
    <row r="279" customFormat="false" ht="15" hidden="false" customHeight="false" outlineLevel="0" collapsed="false">
      <c r="A279" s="2" t="s">
        <v>502</v>
      </c>
      <c r="B279" s="3" t="n">
        <v>46318.7076388889</v>
      </c>
      <c r="C279" s="2" t="s">
        <v>501</v>
      </c>
      <c r="D279" s="2" t="s">
        <v>46</v>
      </c>
      <c r="E279" s="2" t="s">
        <v>16</v>
      </c>
      <c r="F279" s="4" t="str">
        <f aca="false">VLOOKUP(TRIM($E279),'co-so-du-lieu-virus'!$A$2:$D$9,2,FALSE())</f>
        <v>NetCrawler</v>
      </c>
      <c r="G279" s="4" t="str">
        <f aca="false">VLOOKUP(TRIM($E279),'co-so-du-lieu-virus'!$A$2:$D$9,3,FALSE())</f>
        <v>Worm</v>
      </c>
      <c r="H279" s="4" t="str">
        <f aca="false">VLOOKUP(TRIM($E279),'co-so-du-lieu-virus'!$A$2:$D$9,4,FALSE())</f>
        <v>Cao</v>
      </c>
    </row>
    <row r="280" customFormat="false" ht="15" hidden="false" customHeight="false" outlineLevel="0" collapsed="false">
      <c r="A280" s="2" t="s">
        <v>503</v>
      </c>
      <c r="B280" s="3" t="n">
        <v>46298.3895833333</v>
      </c>
      <c r="C280" s="2" t="s">
        <v>504</v>
      </c>
      <c r="D280" s="2" t="s">
        <v>43</v>
      </c>
      <c r="E280" s="2" t="s">
        <v>10</v>
      </c>
      <c r="F280" s="4" t="str">
        <f aca="false">VLOOKUP(TRIM($E280),'co-so-du-lieu-virus'!$A$2:$D$9,2,FALSE())</f>
        <v>BankStealer.X</v>
      </c>
      <c r="G280" s="4" t="str">
        <f aca="false">VLOOKUP(TRIM($E280),'co-so-du-lieu-virus'!$A$2:$D$9,3,FALSE())</f>
        <v>Trojan</v>
      </c>
      <c r="H280" s="4" t="str">
        <f aca="false">VLOOKUP(TRIM($E280),'co-so-du-lieu-virus'!$A$2:$D$9,4,FALSE())</f>
        <v>Cao</v>
      </c>
    </row>
    <row r="281" customFormat="false" ht="15" hidden="false" customHeight="false" outlineLevel="0" collapsed="false">
      <c r="A281" s="2" t="s">
        <v>505</v>
      </c>
      <c r="B281" s="3" t="n">
        <v>46296.8090277778</v>
      </c>
      <c r="C281" s="2" t="s">
        <v>506</v>
      </c>
      <c r="D281" s="2" t="s">
        <v>43</v>
      </c>
      <c r="E281" s="2" t="s">
        <v>50</v>
      </c>
      <c r="F281" s="4" t="str">
        <f aca="false">VLOOKUP(TRIM($E281),'co-so-du-lieu-virus'!$A$2:$D$9,2,FALSE())</f>
        <v>BotHerd.M</v>
      </c>
      <c r="G281" s="4" t="str">
        <f aca="false">VLOOKUP(TRIM($E281),'co-so-du-lieu-virus'!$A$2:$D$9,3,FALSE())</f>
        <v>Botnet</v>
      </c>
      <c r="H281" s="4" t="str">
        <f aca="false">VLOOKUP(TRIM($E281),'co-so-du-lieu-virus'!$A$2:$D$9,4,FALSE())</f>
        <v>Cao</v>
      </c>
    </row>
    <row r="282" customFormat="false" ht="15" hidden="false" customHeight="false" outlineLevel="0" collapsed="false">
      <c r="A282" s="2" t="s">
        <v>507</v>
      </c>
      <c r="B282" s="3" t="n">
        <v>46307.9666666667</v>
      </c>
      <c r="C282" s="2" t="s">
        <v>397</v>
      </c>
      <c r="D282" s="2" t="s">
        <v>46</v>
      </c>
      <c r="E282" s="2" t="s">
        <v>23</v>
      </c>
      <c r="F282" s="4" t="str">
        <f aca="false">VLOOKUP(TRIM($E282),'co-so-du-lieu-virus'!$A$2:$D$9,2,FALSE())</f>
        <v>BotHerd.M</v>
      </c>
      <c r="G282" s="4" t="str">
        <f aca="false">VLOOKUP(TRIM($E282),'co-so-du-lieu-virus'!$A$2:$D$9,3,FALSE())</f>
        <v>Botnet</v>
      </c>
      <c r="H282" s="4" t="str">
        <f aca="false">VLOOKUP(TRIM($E282),'co-so-du-lieu-virus'!$A$2:$D$9,4,FALSE())</f>
        <v>Cao</v>
      </c>
    </row>
    <row r="283" customFormat="false" ht="15" hidden="false" customHeight="false" outlineLevel="0" collapsed="false">
      <c r="A283" s="2" t="s">
        <v>508</v>
      </c>
      <c r="B283" s="3" t="n">
        <v>46321.8909722222</v>
      </c>
      <c r="C283" s="2" t="s">
        <v>390</v>
      </c>
      <c r="D283" s="2" t="s">
        <v>34</v>
      </c>
      <c r="E283" s="2" t="s">
        <v>4</v>
      </c>
      <c r="F283" s="4" t="str">
        <f aca="false">VLOOKUP(TRIM($E283),'co-so-du-lieu-virus'!$A$2:$D$9,2,FALSE())</f>
        <v>CryptoLock.A</v>
      </c>
      <c r="G283" s="4" t="str">
        <f aca="false">VLOOKUP(TRIM($E283),'co-so-du-lieu-virus'!$A$2:$D$9,3,FALSE())</f>
        <v>Ransomware</v>
      </c>
      <c r="H283" s="4" t="str">
        <f aca="false">VLOOKUP(TRIM($E283),'co-so-du-lieu-virus'!$A$2:$D$9,4,FALSE())</f>
        <v>Nghiêm trọng</v>
      </c>
    </row>
    <row r="284" customFormat="false" ht="15" hidden="false" customHeight="false" outlineLevel="0" collapsed="false">
      <c r="A284" s="2" t="s">
        <v>509</v>
      </c>
      <c r="B284" s="3" t="n">
        <v>46302.6548611111</v>
      </c>
      <c r="C284" s="2" t="s">
        <v>392</v>
      </c>
      <c r="D284" s="2" t="s">
        <v>71</v>
      </c>
      <c r="E284" s="2" t="s">
        <v>16</v>
      </c>
      <c r="F284" s="4" t="str">
        <f aca="false">VLOOKUP(TRIM($E284),'co-so-du-lieu-virus'!$A$2:$D$9,2,FALSE())</f>
        <v>NetCrawler</v>
      </c>
      <c r="G284" s="4" t="str">
        <f aca="false">VLOOKUP(TRIM($E284),'co-so-du-lieu-virus'!$A$2:$D$9,3,FALSE())</f>
        <v>Worm</v>
      </c>
      <c r="H284" s="4" t="str">
        <f aca="false">VLOOKUP(TRIM($E284),'co-so-du-lieu-virus'!$A$2:$D$9,4,FALSE())</f>
        <v>Cao</v>
      </c>
    </row>
    <row r="285" customFormat="false" ht="15" hidden="false" customHeight="false" outlineLevel="0" collapsed="false">
      <c r="A285" s="2" t="s">
        <v>510</v>
      </c>
      <c r="B285" s="3" t="n">
        <v>46319.9138888889</v>
      </c>
      <c r="C285" s="2" t="s">
        <v>228</v>
      </c>
      <c r="D285" s="2" t="s">
        <v>71</v>
      </c>
      <c r="E285" s="2" t="s">
        <v>14</v>
      </c>
      <c r="F285" s="4" t="str">
        <f aca="false">VLOOKUP(TRIM($E285),'co-so-du-lieu-virus'!$A$2:$D$9,2,FALSE())</f>
        <v>RemoteShell.T</v>
      </c>
      <c r="G285" s="4" t="str">
        <f aca="false">VLOOKUP(TRIM($E285),'co-so-du-lieu-virus'!$A$2:$D$9,3,FALSE())</f>
        <v>Trojan</v>
      </c>
      <c r="H285" s="4" t="str">
        <f aca="false">VLOOKUP(TRIM($E285),'co-so-du-lieu-virus'!$A$2:$D$9,4,FALSE())</f>
        <v>Cao</v>
      </c>
    </row>
    <row r="286" customFormat="false" ht="15" hidden="false" customHeight="false" outlineLevel="0" collapsed="false">
      <c r="A286" s="2" t="s">
        <v>511</v>
      </c>
      <c r="B286" s="3" t="n">
        <v>46319.2354166667</v>
      </c>
      <c r="C286" s="2" t="s">
        <v>141</v>
      </c>
      <c r="D286" s="2" t="s">
        <v>43</v>
      </c>
      <c r="E286" s="2" t="s">
        <v>19</v>
      </c>
      <c r="F286" s="4" t="str">
        <f aca="false">VLOOKUP(TRIM($E286),'co-so-du-lieu-virus'!$A$2:$D$9,2,FALSE())</f>
        <v>SilentSpy</v>
      </c>
      <c r="G286" s="4" t="str">
        <f aca="false">VLOOKUP(TRIM($E286),'co-so-du-lieu-virus'!$A$2:$D$9,3,FALSE())</f>
        <v>Spyware</v>
      </c>
      <c r="H286" s="4" t="str">
        <f aca="false">VLOOKUP(TRIM($E286),'co-so-du-lieu-virus'!$A$2:$D$9,4,FALSE())</f>
        <v>Trung bình</v>
      </c>
    </row>
    <row r="287" customFormat="false" ht="15" hidden="false" customHeight="false" outlineLevel="0" collapsed="false">
      <c r="A287" s="2" t="s">
        <v>512</v>
      </c>
      <c r="B287" s="3" t="n">
        <v>46316.6861111111</v>
      </c>
      <c r="C287" s="2" t="s">
        <v>513</v>
      </c>
      <c r="D287" s="2" t="s">
        <v>71</v>
      </c>
      <c r="E287" s="2" t="s">
        <v>259</v>
      </c>
      <c r="F287" s="4" t="str">
        <f aca="false">VLOOKUP(TRIM($E287),'co-so-du-lieu-virus'!$A$2:$D$9,2,FALSE())</f>
        <v>BankStealer.X</v>
      </c>
      <c r="G287" s="4" t="str">
        <f aca="false">VLOOKUP(TRIM($E287),'co-so-du-lieu-virus'!$A$2:$D$9,3,FALSE())</f>
        <v>Trojan</v>
      </c>
      <c r="H287" s="4" t="str">
        <f aca="false">VLOOKUP(TRIM($E287),'co-so-du-lieu-virus'!$A$2:$D$9,4,FALSE())</f>
        <v>Cao</v>
      </c>
    </row>
    <row r="288" customFormat="false" ht="15" hidden="false" customHeight="false" outlineLevel="0" collapsed="false">
      <c r="A288" s="2" t="s">
        <v>514</v>
      </c>
      <c r="B288" s="3" t="n">
        <v>46305.8458333333</v>
      </c>
      <c r="C288" s="2" t="s">
        <v>515</v>
      </c>
      <c r="D288" s="2" t="s">
        <v>46</v>
      </c>
      <c r="E288" s="2" t="s">
        <v>14</v>
      </c>
      <c r="F288" s="4" t="str">
        <f aca="false">VLOOKUP(TRIM($E288),'co-so-du-lieu-virus'!$A$2:$D$9,2,FALSE())</f>
        <v>RemoteShell.T</v>
      </c>
      <c r="G288" s="4" t="str">
        <f aca="false">VLOOKUP(TRIM($E288),'co-so-du-lieu-virus'!$A$2:$D$9,3,FALSE())</f>
        <v>Trojan</v>
      </c>
      <c r="H288" s="4" t="str">
        <f aca="false">VLOOKUP(TRIM($E288),'co-so-du-lieu-virus'!$A$2:$D$9,4,FALSE())</f>
        <v>Cao</v>
      </c>
    </row>
    <row r="289" customFormat="false" ht="15" hidden="false" customHeight="false" outlineLevel="0" collapsed="false">
      <c r="A289" s="2" t="s">
        <v>516</v>
      </c>
      <c r="B289" s="3" t="n">
        <v>46302.1229166667</v>
      </c>
      <c r="C289" s="2" t="s">
        <v>241</v>
      </c>
      <c r="D289" s="2" t="s">
        <v>64</v>
      </c>
      <c r="E289" s="2" t="s">
        <v>8</v>
      </c>
      <c r="F289" s="4" t="str">
        <f aca="false">VLOOKUP(TRIM($E289),'co-so-du-lieu-virus'!$A$2:$D$9,2,FALSE())</f>
        <v>NightLocker</v>
      </c>
      <c r="G289" s="4" t="str">
        <f aca="false">VLOOKUP(TRIM($E289),'co-so-du-lieu-virus'!$A$2:$D$9,3,FALSE())</f>
        <v>Ransomware</v>
      </c>
      <c r="H289" s="4" t="str">
        <f aca="false">VLOOKUP(TRIM($E289),'co-so-du-lieu-virus'!$A$2:$D$9,4,FALSE())</f>
        <v>Nghiêm trọng</v>
      </c>
    </row>
    <row r="290" customFormat="false" ht="15" hidden="false" customHeight="false" outlineLevel="0" collapsed="false">
      <c r="A290" s="2" t="s">
        <v>517</v>
      </c>
      <c r="B290" s="3" t="n">
        <v>46297.7847222222</v>
      </c>
      <c r="C290" s="2" t="s">
        <v>470</v>
      </c>
      <c r="D290" s="2" t="s">
        <v>49</v>
      </c>
      <c r="E290" s="2" t="s">
        <v>14</v>
      </c>
      <c r="F290" s="4" t="str">
        <f aca="false">VLOOKUP(TRIM($E290),'co-so-du-lieu-virus'!$A$2:$D$9,2,FALSE())</f>
        <v>RemoteShell.T</v>
      </c>
      <c r="G290" s="4" t="str">
        <f aca="false">VLOOKUP(TRIM($E290),'co-so-du-lieu-virus'!$A$2:$D$9,3,FALSE())</f>
        <v>Trojan</v>
      </c>
      <c r="H290" s="4" t="str">
        <f aca="false">VLOOKUP(TRIM($E290),'co-so-du-lieu-virus'!$A$2:$D$9,4,FALSE())</f>
        <v>Cao</v>
      </c>
    </row>
    <row r="291" customFormat="false" ht="15" hidden="false" customHeight="false" outlineLevel="0" collapsed="false">
      <c r="A291" s="2" t="s">
        <v>518</v>
      </c>
      <c r="B291" s="3" t="n">
        <v>46300.1604166667</v>
      </c>
      <c r="C291" s="2" t="s">
        <v>519</v>
      </c>
      <c r="D291" s="2" t="s">
        <v>34</v>
      </c>
      <c r="E291" s="2" t="s">
        <v>14</v>
      </c>
      <c r="F291" s="4" t="str">
        <f aca="false">VLOOKUP(TRIM($E291),'co-so-du-lieu-virus'!$A$2:$D$9,2,FALSE())</f>
        <v>RemoteShell.T</v>
      </c>
      <c r="G291" s="4" t="str">
        <f aca="false">VLOOKUP(TRIM($E291),'co-so-du-lieu-virus'!$A$2:$D$9,3,FALSE())</f>
        <v>Trojan</v>
      </c>
      <c r="H291" s="4" t="str">
        <f aca="false">VLOOKUP(TRIM($E291),'co-so-du-lieu-virus'!$A$2:$D$9,4,FALSE())</f>
        <v>Cao</v>
      </c>
    </row>
    <row r="292" customFormat="false" ht="15" hidden="false" customHeight="false" outlineLevel="0" collapsed="false">
      <c r="A292" s="2" t="s">
        <v>520</v>
      </c>
      <c r="B292" s="3" t="n">
        <v>46299.4805555556</v>
      </c>
      <c r="C292" s="2" t="s">
        <v>368</v>
      </c>
      <c r="D292" s="2" t="s">
        <v>46</v>
      </c>
      <c r="E292" s="2" t="s">
        <v>10</v>
      </c>
      <c r="F292" s="4" t="str">
        <f aca="false">VLOOKUP(TRIM($E292),'co-so-du-lieu-virus'!$A$2:$D$9,2,FALSE())</f>
        <v>BankStealer.X</v>
      </c>
      <c r="G292" s="4" t="str">
        <f aca="false">VLOOKUP(TRIM($E292),'co-so-du-lieu-virus'!$A$2:$D$9,3,FALSE())</f>
        <v>Trojan</v>
      </c>
      <c r="H292" s="4" t="str">
        <f aca="false">VLOOKUP(TRIM($E292),'co-so-du-lieu-virus'!$A$2:$D$9,4,FALSE())</f>
        <v>Cao</v>
      </c>
    </row>
    <row r="293" customFormat="false" ht="15" hidden="false" customHeight="false" outlineLevel="0" collapsed="false">
      <c r="A293" s="2" t="s">
        <v>521</v>
      </c>
      <c r="B293" s="3" t="n">
        <v>46306.4618055556</v>
      </c>
      <c r="C293" s="2" t="s">
        <v>103</v>
      </c>
      <c r="D293" s="2" t="s">
        <v>71</v>
      </c>
      <c r="E293" s="2" t="s">
        <v>16</v>
      </c>
      <c r="F293" s="4" t="str">
        <f aca="false">VLOOKUP(TRIM($E293),'co-so-du-lieu-virus'!$A$2:$D$9,2,FALSE())</f>
        <v>NetCrawler</v>
      </c>
      <c r="G293" s="4" t="str">
        <f aca="false">VLOOKUP(TRIM($E293),'co-so-du-lieu-virus'!$A$2:$D$9,3,FALSE())</f>
        <v>Worm</v>
      </c>
      <c r="H293" s="4" t="str">
        <f aca="false">VLOOKUP(TRIM($E293),'co-so-du-lieu-virus'!$A$2:$D$9,4,FALSE())</f>
        <v>Cao</v>
      </c>
    </row>
    <row r="294" customFormat="false" ht="15" hidden="false" customHeight="false" outlineLevel="0" collapsed="false">
      <c r="A294" s="2" t="s">
        <v>522</v>
      </c>
      <c r="B294" s="3" t="n">
        <v>46315.0388888889</v>
      </c>
      <c r="C294" s="2" t="s">
        <v>174</v>
      </c>
      <c r="D294" s="2" t="s">
        <v>46</v>
      </c>
      <c r="E294" s="2" t="s">
        <v>8</v>
      </c>
      <c r="F294" s="4" t="str">
        <f aca="false">VLOOKUP(TRIM($E294),'co-so-du-lieu-virus'!$A$2:$D$9,2,FALSE())</f>
        <v>NightLocker</v>
      </c>
      <c r="G294" s="4" t="str">
        <f aca="false">VLOOKUP(TRIM($E294),'co-so-du-lieu-virus'!$A$2:$D$9,3,FALSE())</f>
        <v>Ransomware</v>
      </c>
      <c r="H294" s="4" t="str">
        <f aca="false">VLOOKUP(TRIM($E294),'co-so-du-lieu-virus'!$A$2:$D$9,4,FALSE())</f>
        <v>Nghiêm trọng</v>
      </c>
    </row>
    <row r="295" customFormat="false" ht="15" hidden="false" customHeight="false" outlineLevel="0" collapsed="false">
      <c r="A295" s="2" t="s">
        <v>523</v>
      </c>
      <c r="B295" s="3" t="n">
        <v>46311.3388888889</v>
      </c>
      <c r="C295" s="2" t="s">
        <v>524</v>
      </c>
      <c r="D295" s="2" t="s">
        <v>34</v>
      </c>
      <c r="E295" s="2" t="s">
        <v>26</v>
      </c>
      <c r="F295" s="4" t="str">
        <f aca="false">VLOOKUP(TRIM($E295),'co-so-du-lieu-virus'!$A$2:$D$9,2,FALSE())</f>
        <v>KeyWatch</v>
      </c>
      <c r="G295" s="4" t="str">
        <f aca="false">VLOOKUP(TRIM($E295),'co-so-du-lieu-virus'!$A$2:$D$9,3,FALSE())</f>
        <v>Spyware</v>
      </c>
      <c r="H295" s="4" t="str">
        <f aca="false">VLOOKUP(TRIM($E295),'co-so-du-lieu-virus'!$A$2:$D$9,4,FALSE())</f>
        <v>Trung bình</v>
      </c>
    </row>
    <row r="296" customFormat="false" ht="15" hidden="false" customHeight="false" outlineLevel="0" collapsed="false">
      <c r="A296" s="2" t="s">
        <v>525</v>
      </c>
      <c r="B296" s="3" t="n">
        <v>46298.6631944445</v>
      </c>
      <c r="C296" s="2" t="s">
        <v>526</v>
      </c>
      <c r="D296" s="2" t="s">
        <v>71</v>
      </c>
      <c r="E296" s="2" t="s">
        <v>259</v>
      </c>
      <c r="F296" s="4" t="str">
        <f aca="false">VLOOKUP(TRIM($E296),'co-so-du-lieu-virus'!$A$2:$D$9,2,FALSE())</f>
        <v>BankStealer.X</v>
      </c>
      <c r="G296" s="4" t="str">
        <f aca="false">VLOOKUP(TRIM($E296),'co-so-du-lieu-virus'!$A$2:$D$9,3,FALSE())</f>
        <v>Trojan</v>
      </c>
      <c r="H296" s="4" t="str">
        <f aca="false">VLOOKUP(TRIM($E296),'co-so-du-lieu-virus'!$A$2:$D$9,4,FALSE())</f>
        <v>Cao</v>
      </c>
    </row>
    <row r="297" customFormat="false" ht="15" hidden="false" customHeight="false" outlineLevel="0" collapsed="false">
      <c r="A297" s="2" t="s">
        <v>527</v>
      </c>
      <c r="B297" s="3" t="n">
        <v>46304.0680555556</v>
      </c>
      <c r="C297" s="2" t="s">
        <v>174</v>
      </c>
      <c r="D297" s="2" t="s">
        <v>43</v>
      </c>
      <c r="E297" s="2" t="s">
        <v>16</v>
      </c>
      <c r="F297" s="4" t="str">
        <f aca="false">VLOOKUP(TRIM($E297),'co-so-du-lieu-virus'!$A$2:$D$9,2,FALSE())</f>
        <v>NetCrawler</v>
      </c>
      <c r="G297" s="4" t="str">
        <f aca="false">VLOOKUP(TRIM($E297),'co-so-du-lieu-virus'!$A$2:$D$9,3,FALSE())</f>
        <v>Worm</v>
      </c>
      <c r="H297" s="4" t="str">
        <f aca="false">VLOOKUP(TRIM($E297),'co-so-du-lieu-virus'!$A$2:$D$9,4,FALSE())</f>
        <v>Cao</v>
      </c>
    </row>
    <row r="298" customFormat="false" ht="15" hidden="false" customHeight="false" outlineLevel="0" collapsed="false">
      <c r="A298" s="2" t="s">
        <v>528</v>
      </c>
      <c r="B298" s="3" t="n">
        <v>46313.2361111111</v>
      </c>
      <c r="C298" s="2" t="s">
        <v>529</v>
      </c>
      <c r="D298" s="2" t="s">
        <v>46</v>
      </c>
      <c r="E298" s="2" t="s">
        <v>26</v>
      </c>
      <c r="F298" s="4" t="str">
        <f aca="false">VLOOKUP(TRIM($E298),'co-so-du-lieu-virus'!$A$2:$D$9,2,FALSE())</f>
        <v>KeyWatch</v>
      </c>
      <c r="G298" s="4" t="str">
        <f aca="false">VLOOKUP(TRIM($E298),'co-so-du-lieu-virus'!$A$2:$D$9,3,FALSE())</f>
        <v>Spyware</v>
      </c>
      <c r="H298" s="4" t="str">
        <f aca="false">VLOOKUP(TRIM($E298),'co-so-du-lieu-virus'!$A$2:$D$9,4,FALSE())</f>
        <v>Trung bình</v>
      </c>
    </row>
    <row r="299" customFormat="false" ht="15" hidden="false" customHeight="false" outlineLevel="0" collapsed="false">
      <c r="A299" s="2" t="s">
        <v>530</v>
      </c>
      <c r="B299" s="3" t="n">
        <v>46304.35625</v>
      </c>
      <c r="C299" s="2" t="s">
        <v>124</v>
      </c>
      <c r="D299" s="2" t="s">
        <v>34</v>
      </c>
      <c r="E299" s="2" t="s">
        <v>10</v>
      </c>
      <c r="F299" s="4" t="str">
        <f aca="false">VLOOKUP(TRIM($E299),'co-so-du-lieu-virus'!$A$2:$D$9,2,FALSE())</f>
        <v>BankStealer.X</v>
      </c>
      <c r="G299" s="4" t="str">
        <f aca="false">VLOOKUP(TRIM($E299),'co-so-du-lieu-virus'!$A$2:$D$9,3,FALSE())</f>
        <v>Trojan</v>
      </c>
      <c r="H299" s="4" t="str">
        <f aca="false">VLOOKUP(TRIM($E299),'co-so-du-lieu-virus'!$A$2:$D$9,4,FALSE())</f>
        <v>Cao</v>
      </c>
    </row>
    <row r="300" customFormat="false" ht="15" hidden="false" customHeight="false" outlineLevel="0" collapsed="false">
      <c r="A300" s="2" t="s">
        <v>531</v>
      </c>
      <c r="B300" s="3" t="n">
        <v>46314.2138888889</v>
      </c>
      <c r="C300" s="2" t="s">
        <v>176</v>
      </c>
      <c r="D300" s="2" t="s">
        <v>34</v>
      </c>
      <c r="E300" s="2" t="s">
        <v>23</v>
      </c>
      <c r="F300" s="4" t="str">
        <f aca="false">VLOOKUP(TRIM($E300),'co-so-du-lieu-virus'!$A$2:$D$9,2,FALSE())</f>
        <v>BotHerd.M</v>
      </c>
      <c r="G300" s="4" t="str">
        <f aca="false">VLOOKUP(TRIM($E300),'co-so-du-lieu-virus'!$A$2:$D$9,3,FALSE())</f>
        <v>Botnet</v>
      </c>
      <c r="H300" s="4" t="str">
        <f aca="false">VLOOKUP(TRIM($E300),'co-so-du-lieu-virus'!$A$2:$D$9,4,FALSE())</f>
        <v>Cao</v>
      </c>
    </row>
    <row r="301" customFormat="false" ht="15" hidden="false" customHeight="false" outlineLevel="0" collapsed="false">
      <c r="A301" s="2" t="s">
        <v>532</v>
      </c>
      <c r="B301" s="3" t="n">
        <v>46316.3479166667</v>
      </c>
      <c r="C301" s="2" t="s">
        <v>533</v>
      </c>
      <c r="D301" s="2" t="s">
        <v>64</v>
      </c>
      <c r="E301" s="2" t="s">
        <v>14</v>
      </c>
      <c r="F301" s="4" t="str">
        <f aca="false">VLOOKUP(TRIM($E301),'co-so-du-lieu-virus'!$A$2:$D$9,2,FALSE())</f>
        <v>RemoteShell.T</v>
      </c>
      <c r="G301" s="4" t="str">
        <f aca="false">VLOOKUP(TRIM($E301),'co-so-du-lieu-virus'!$A$2:$D$9,3,FALSE())</f>
        <v>Trojan</v>
      </c>
      <c r="H301" s="4" t="str">
        <f aca="false">VLOOKUP(TRIM($E301),'co-so-du-lieu-virus'!$A$2:$D$9,4,FALSE())</f>
        <v>Cao</v>
      </c>
    </row>
  </sheetData>
  <autoFilter ref="A1:H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0"/>
  </cols>
  <sheetData>
    <row r="1" customFormat="false" ht="16.15" hidden="false" customHeight="false" outlineLevel="0" collapsed="false">
      <c r="A1" s="5" t="s">
        <v>534</v>
      </c>
    </row>
    <row r="3" customFormat="false" ht="15" hidden="false" customHeight="false" outlineLevel="0" collapsed="false">
      <c r="A3" s="6" t="s">
        <v>2</v>
      </c>
      <c r="B3" s="6" t="s">
        <v>535</v>
      </c>
      <c r="C3" s="6" t="s">
        <v>536</v>
      </c>
    </row>
    <row r="4" customFormat="false" ht="15" hidden="false" customHeight="false" outlineLevel="0" collapsed="false">
      <c r="A4" s="7" t="s">
        <v>6</v>
      </c>
      <c r="B4" s="7" t="n">
        <f aca="false">COUNTIF('nhat-ky-he-thong'!$G$2:$G$301,A4)</f>
        <v>48</v>
      </c>
      <c r="C4" s="8" t="n">
        <f aca="false">B4/$B$9</f>
        <v>0.16</v>
      </c>
    </row>
    <row r="5" customFormat="false" ht="15" hidden="false" customHeight="false" outlineLevel="0" collapsed="false">
      <c r="A5" s="7" t="s">
        <v>12</v>
      </c>
      <c r="B5" s="7" t="n">
        <f aca="false">COUNTIF('nhat-ky-he-thong'!$G$2:$G$301,A5)</f>
        <v>117</v>
      </c>
      <c r="C5" s="8" t="n">
        <f aca="false">B5/$B$9</f>
        <v>0.39</v>
      </c>
    </row>
    <row r="6" customFormat="false" ht="15" hidden="false" customHeight="false" outlineLevel="0" collapsed="false">
      <c r="A6" s="7" t="s">
        <v>18</v>
      </c>
      <c r="B6" s="7" t="n">
        <f aca="false">COUNTIF('nhat-ky-he-thong'!$G$2:$G$301,A6)</f>
        <v>48</v>
      </c>
      <c r="C6" s="8" t="n">
        <f aca="false">B6/$B$9</f>
        <v>0.16</v>
      </c>
    </row>
    <row r="7" customFormat="false" ht="15" hidden="false" customHeight="false" outlineLevel="0" collapsed="false">
      <c r="A7" s="7" t="s">
        <v>21</v>
      </c>
      <c r="B7" s="7" t="n">
        <f aca="false">COUNTIF('nhat-ky-he-thong'!$G$2:$G$301,A7)</f>
        <v>53</v>
      </c>
      <c r="C7" s="8" t="n">
        <f aca="false">B7/$B$9</f>
        <v>0.176666666666667</v>
      </c>
    </row>
    <row r="8" customFormat="false" ht="15" hidden="false" customHeight="false" outlineLevel="0" collapsed="false">
      <c r="A8" s="7" t="s">
        <v>25</v>
      </c>
      <c r="B8" s="7" t="n">
        <f aca="false">COUNTIF('nhat-ky-he-thong'!$G$2:$G$301,A8)</f>
        <v>34</v>
      </c>
      <c r="C8" s="8" t="n">
        <f aca="false">B8/$B$9</f>
        <v>0.113333333333333</v>
      </c>
    </row>
    <row r="9" customFormat="false" ht="15" hidden="false" customHeight="false" outlineLevel="0" collapsed="false">
      <c r="A9" s="9" t="s">
        <v>537</v>
      </c>
      <c r="B9" s="9" t="n">
        <f aca="false">SUM(B4:B8)</f>
        <v>300</v>
      </c>
    </row>
    <row r="10" customFormat="false" ht="15" hidden="false" customHeight="false" outlineLevel="0" collapsed="false">
      <c r="A10" s="0" t="s">
        <v>538</v>
      </c>
      <c r="B10" s="0" t="str">
        <f aca="false">IF(SUMPRODUCT(--ISNA('nhat-ky-he-thong'!$F$2:$F$301))=0,"OK","LOI")</f>
        <v>OK</v>
      </c>
    </row>
    <row r="12" customFormat="false" ht="15" hidden="false" customHeight="false" outlineLevel="0" collapsed="false">
      <c r="A12" s="6" t="s">
        <v>3</v>
      </c>
      <c r="B12" s="6" t="s">
        <v>535</v>
      </c>
    </row>
    <row r="13" customFormat="false" ht="15" hidden="false" customHeight="false" outlineLevel="0" collapsed="false">
      <c r="A13" s="7" t="s">
        <v>7</v>
      </c>
      <c r="B13" s="7" t="n">
        <f aca="false">COUNTIF('nhat-ky-he-thong'!$H$2:$H$301,A13)</f>
        <v>48</v>
      </c>
    </row>
    <row r="14" customFormat="false" ht="15" hidden="false" customHeight="false" outlineLevel="0" collapsed="false">
      <c r="A14" s="7" t="s">
        <v>13</v>
      </c>
      <c r="B14" s="7" t="n">
        <f aca="false">COUNTIF('nhat-ky-he-thong'!$H$2:$H$301,A14)</f>
        <v>199</v>
      </c>
    </row>
    <row r="15" customFormat="false" ht="15" hidden="false" customHeight="false" outlineLevel="0" collapsed="false">
      <c r="A15" s="7" t="s">
        <v>22</v>
      </c>
      <c r="B15" s="7" t="n">
        <f aca="false">COUNTIF('nhat-ky-he-thong'!$H$2:$H$301,A15)</f>
        <v>53</v>
      </c>
    </row>
    <row r="16" customFormat="false" ht="15" hidden="false" customHeight="false" outlineLevel="0" collapsed="false">
      <c r="A16" s="10" t="s">
        <v>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2026-10-26T17:57:36Z</dcterms:created>
  <dc:creator>openpyxl</dc:creator>
  <dc:description/>
  <dc:language>en-US</dc:language>
  <cp:lastModifiedBy/>
  <dcterms:modified xsi:type="dcterms:W3CDTF">2026-10-26T17:57:36Z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